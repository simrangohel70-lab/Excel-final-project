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BFBBC4E6-F462-4823-B582-AFD245722006}" xr6:coauthVersionLast="47" xr6:coauthVersionMax="47" xr10:uidLastSave="{00000000-0000-0000-0000-000000000000}"/>
  <bookViews>
    <workbookView xWindow="-108" yWindow="-108" windowWidth="23256" windowHeight="12456" activeTab="5" xr2:uid="{968B0E13-2448-4CEC-BE84-54040BC6AE59}"/>
  </bookViews>
  <sheets>
    <sheet name="Raw data" sheetId="5" r:id="rId1"/>
    <sheet name="Cleaned data" sheetId="1" r:id="rId2"/>
    <sheet name="Charts" sheetId="4" r:id="rId3"/>
    <sheet name="Pivot table" sheetId="3" r:id="rId4"/>
    <sheet name="Dashboard" sheetId="7" r:id="rId5"/>
    <sheet name="Documentation" sheetId="8" r:id="rId6"/>
  </sheets>
  <definedNames>
    <definedName name="NativeTimeline_Order_Date">#N/A</definedName>
    <definedName name="Slicer_Category">#N/A</definedName>
    <definedName name="Slicer_Order_Status">#N/A</definedName>
    <definedName name="Slicer_Region">#N/A</definedName>
    <definedName name="Slicer_Salespers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O104" i="1"/>
  <c r="Q10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2" i="1"/>
  <c r="O2" i="1"/>
</calcChain>
</file>

<file path=xl/sharedStrings.xml><?xml version="1.0" encoding="utf-8"?>
<sst xmlns="http://schemas.openxmlformats.org/spreadsheetml/2006/main" count="2524" uniqueCount="137">
  <si>
    <t>Order ID</t>
  </si>
  <si>
    <t>Order Date</t>
  </si>
  <si>
    <t>Product ID</t>
  </si>
  <si>
    <t>Product</t>
  </si>
  <si>
    <t>Category</t>
  </si>
  <si>
    <t>Region</t>
  </si>
  <si>
    <t>Salesperson</t>
  </si>
  <si>
    <t>Customer</t>
  </si>
  <si>
    <t>Quantity</t>
  </si>
  <si>
    <t>Unit Price</t>
  </si>
  <si>
    <t>Discount</t>
  </si>
  <si>
    <t>Sales Amount</t>
  </si>
  <si>
    <t>Payment Method</t>
  </si>
  <si>
    <t>Order Status</t>
  </si>
  <si>
    <t>P002</t>
  </si>
  <si>
    <t>Smartphone</t>
  </si>
  <si>
    <t>Electronics</t>
  </si>
  <si>
    <t>South</t>
  </si>
  <si>
    <t>Diya</t>
  </si>
  <si>
    <t>Customer 24</t>
  </si>
  <si>
    <t>Cash</t>
  </si>
  <si>
    <t>Cancelled</t>
  </si>
  <si>
    <t>North</t>
  </si>
  <si>
    <t>Customer 8</t>
  </si>
  <si>
    <t>P004</t>
  </si>
  <si>
    <t>Headphones</t>
  </si>
  <si>
    <t>Accessories</t>
  </si>
  <si>
    <t>East</t>
  </si>
  <si>
    <t>Aarav</t>
  </si>
  <si>
    <t>Customer 25</t>
  </si>
  <si>
    <t>Card</t>
  </si>
  <si>
    <t>Pending</t>
  </si>
  <si>
    <t>P006</t>
  </si>
  <si>
    <t>Mouse</t>
  </si>
  <si>
    <t>Customer 3</t>
  </si>
  <si>
    <t>Bank Transfer</t>
  </si>
  <si>
    <t>Completed</t>
  </si>
  <si>
    <t>Anaya</t>
  </si>
  <si>
    <t>Customer 15</t>
  </si>
  <si>
    <t>P005</t>
  </si>
  <si>
    <t>Keyboard</t>
  </si>
  <si>
    <t>West</t>
  </si>
  <si>
    <t>Kabir</t>
  </si>
  <si>
    <t>UPI</t>
  </si>
  <si>
    <t>Customer 30</t>
  </si>
  <si>
    <t>P003</t>
  </si>
  <si>
    <t>Tablet</t>
  </si>
  <si>
    <t>P001</t>
  </si>
  <si>
    <t>Laptop</t>
  </si>
  <si>
    <t>Customer 9</t>
  </si>
  <si>
    <t>P009</t>
  </si>
  <si>
    <t>Office Chair</t>
  </si>
  <si>
    <t>Furniture</t>
  </si>
  <si>
    <t>P008</t>
  </si>
  <si>
    <t>Printer</t>
  </si>
  <si>
    <t>Office</t>
  </si>
  <si>
    <t>Customer 6</t>
  </si>
  <si>
    <t>Rohan</t>
  </si>
  <si>
    <t>Meera</t>
  </si>
  <si>
    <t>Customer 17</t>
  </si>
  <si>
    <t>Customer 11</t>
  </si>
  <si>
    <t>Customer 29</t>
  </si>
  <si>
    <t>Customer 16</t>
  </si>
  <si>
    <t>Customer 10</t>
  </si>
  <si>
    <t>Customer 23</t>
  </si>
  <si>
    <t>Customer 22</t>
  </si>
  <si>
    <t>Customer 26</t>
  </si>
  <si>
    <t>Customer 14</t>
  </si>
  <si>
    <t>P007</t>
  </si>
  <si>
    <t>Monitor</t>
  </si>
  <si>
    <t>P010</t>
  </si>
  <si>
    <t>Desk</t>
  </si>
  <si>
    <t>Customer 7</t>
  </si>
  <si>
    <t>Customer 27</t>
  </si>
  <si>
    <t>Customer 2</t>
  </si>
  <si>
    <t>Customer 12</t>
  </si>
  <si>
    <t>Customer 28</t>
  </si>
  <si>
    <t>Customer 21</t>
  </si>
  <si>
    <t>Customer 18</t>
  </si>
  <si>
    <t xml:space="preserve">South </t>
  </si>
  <si>
    <t>Customer 20</t>
  </si>
  <si>
    <t>Customer 1</t>
  </si>
  <si>
    <t xml:space="preserve"> Customer 12 </t>
  </si>
  <si>
    <t>Customer 19</t>
  </si>
  <si>
    <t>Customer 4</t>
  </si>
  <si>
    <t>Customer 5</t>
  </si>
  <si>
    <t>Customer 13</t>
  </si>
  <si>
    <t>Row Labels</t>
  </si>
  <si>
    <t>Grand Total</t>
  </si>
  <si>
    <t>Sum of Sales Amount</t>
  </si>
  <si>
    <t>Product details</t>
  </si>
  <si>
    <t>High/low value</t>
  </si>
  <si>
    <t>Order search</t>
  </si>
  <si>
    <t>Result</t>
  </si>
  <si>
    <t>Jan</t>
  </si>
  <si>
    <t>Feb</t>
  </si>
  <si>
    <t>Mar</t>
  </si>
  <si>
    <t>Apr</t>
  </si>
  <si>
    <t>May</t>
  </si>
  <si>
    <t>Jun</t>
  </si>
  <si>
    <t>Jul</t>
  </si>
  <si>
    <t>Aug</t>
  </si>
  <si>
    <t>Sep</t>
  </si>
  <si>
    <t>Oct</t>
  </si>
  <si>
    <t>Nov</t>
  </si>
  <si>
    <t>Dec</t>
  </si>
  <si>
    <t>Sum of Order ID</t>
  </si>
  <si>
    <t>Sum of Unit Price</t>
  </si>
  <si>
    <t>Total  n umbers of orders</t>
  </si>
  <si>
    <t>📊 EXECUTIVE SALES ANALYTICS DASHBOARD</t>
  </si>
  <si>
    <t>charts</t>
  </si>
  <si>
    <t>Project Documentation</t>
  </si>
  <si>
    <t>Task 1</t>
  </si>
  <si>
    <t>Dataset Selection &amp; Import – Raw sales data imported into Excel.</t>
  </si>
  <si>
    <t>Task 2</t>
  </si>
  <si>
    <t>Data Cleaning &amp; Preparation – Duplicates, missing values, formatting and data types reviewed.</t>
  </si>
  <si>
    <t>Task 3</t>
  </si>
  <si>
    <t>Create Pivot Tables – Sales data summarized by category, region and month.</t>
  </si>
  <si>
    <t>Task 4</t>
  </si>
  <si>
    <t>Advanced Formulas – VLOOKUP, INDEX-MATCH and IF conditions used for analysis.</t>
  </si>
  <si>
    <t>Task 5</t>
  </si>
  <si>
    <t>Data Visualization – Charts created to present sales trends and comparisons.</t>
  </si>
  <si>
    <t>Task 6</t>
  </si>
  <si>
    <t>Interactive Dashboard – Dashboard created using charts, slicers and timeline features.</t>
  </si>
  <si>
    <t>Task 7</t>
  </si>
  <si>
    <t>Documentation – Project steps, formulas and key findings documented here.</t>
  </si>
  <si>
    <t>Key Findings</t>
  </si>
  <si>
    <t>Total Sales: ₹10,588,845 | Total Quantity: 699 | Transactions: 153</t>
  </si>
  <si>
    <t>Top Category</t>
  </si>
  <si>
    <t>Top Region</t>
  </si>
  <si>
    <t>Top Product</t>
  </si>
  <si>
    <t>Status Summary</t>
  </si>
  <si>
    <t>Completed: 88 | Pending: 35 | Cancelled: 30</t>
  </si>
  <si>
    <t>Formulas Used</t>
  </si>
  <si>
    <t>VLOOKUP | INDEX-MATCH | IF | Nested IF | ROWS</t>
  </si>
  <si>
    <t>Conclusion</t>
  </si>
  <si>
    <t>The workbook demonstrates data cleaning, analysis, visualization and dashboard creation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</si>
</sst>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scheme val="minor"/>
    </font>
    <font>
      <b/>
      <sz val="11"/>
      <name val="Calibri"/>
    </font>
    <font>
      <b/>
      <sz val="11"/>
      <name val="Calibri"/>
      <family val="2"/>
    </font>
    <font>
      <b/>
      <sz val="18"/>
      <color rgb="FFFFFFFF"/>
      <name val="Calibri"/>
      <family val="2"/>
    </font>
    <font>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rgb="FF1F4E79"/>
        <bgColor rgb="FF1F4E79"/>
      </patternFill>
    </fill>
    <fill>
      <patternFill patternType="solid">
        <fgColor theme="6"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5" fillId="5" borderId="0" applyNumberFormat="0" applyBorder="0" applyAlignment="0" applyProtection="0"/>
  </cellStyleXfs>
  <cellXfs count="25">
    <xf numFmtId="0" fontId="0" fillId="0" borderId="0" xfId="0"/>
    <xf numFmtId="0" fontId="2" fillId="2" borderId="1" xfId="0" applyFont="1" applyFill="1" applyBorder="1" applyAlignment="1">
      <alignment horizontal="center" vertical="center"/>
    </xf>
    <xf numFmtId="0" fontId="0" fillId="0" borderId="0" xfId="0"/>
    <xf numFmtId="0" fontId="0" fillId="0" borderId="0" xfId="0" applyAlignment="1">
      <alignment vertical="center"/>
    </xf>
    <xf numFmtId="4" fontId="0" fillId="0" borderId="0" xfId="0" applyNumberFormat="1" applyAlignment="1">
      <alignment vertical="center"/>
    </xf>
    <xf numFmtId="9" fontId="0" fillId="0" borderId="0" xfId="0" applyNumberFormat="1" applyAlignment="1">
      <alignment vertical="center"/>
    </xf>
    <xf numFmtId="14" fontId="2" fillId="2" borderId="1" xfId="0" applyNumberFormat="1" applyFont="1" applyFill="1" applyBorder="1" applyAlignment="1">
      <alignment horizontal="center" vertical="center"/>
    </xf>
    <xf numFmtId="14"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0" fillId="0" borderId="0" xfId="0"/>
    <xf numFmtId="0" fontId="0" fillId="0" borderId="1" xfId="0" applyBorder="1"/>
    <xf numFmtId="15" fontId="0" fillId="0" borderId="1" xfId="0" applyNumberFormat="1" applyBorder="1"/>
    <xf numFmtId="4" fontId="0" fillId="0" borderId="1" xfId="0" applyNumberFormat="1" applyBorder="1"/>
    <xf numFmtId="9" fontId="0" fillId="0" borderId="1" xfId="0" applyNumberFormat="1" applyBorder="1"/>
    <xf numFmtId="0" fontId="4" fillId="4" borderId="0" xfId="0" applyFont="1" applyFill="1" applyAlignment="1">
      <alignment horizontal="center" vertical="center"/>
    </xf>
    <xf numFmtId="0" fontId="0" fillId="0" borderId="0" xfId="0"/>
    <xf numFmtId="0" fontId="6" fillId="0" borderId="0" xfId="0" applyFont="1"/>
    <xf numFmtId="0" fontId="0" fillId="0" borderId="0" xfId="0" applyBorder="1"/>
    <xf numFmtId="0" fontId="6" fillId="0" borderId="0" xfId="0" applyFont="1" applyBorder="1"/>
    <xf numFmtId="0" fontId="5" fillId="5" borderId="0" xfId="2" applyBorder="1"/>
  </cellXfs>
  <cellStyles count="3">
    <cellStyle name="60% - Accent3" xfId="2" builtinId="40"/>
    <cellStyle name="Normal" xfId="0" builtinId="0"/>
    <cellStyle name="Normal 2" xfId="1" xr:uid="{CBE4EB76-B671-43E5-B7FC-4607E3DEA24F}"/>
  </cellStyles>
  <dxfs count="18">
    <dxf>
      <numFmt numFmtId="0" formatCode="General"/>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13" formatCode="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9C69-4414-9D2B-0FF48D745BAF}"/>
            </c:ext>
          </c:extLst>
        </c:ser>
        <c:dLbls>
          <c:showLegendKey val="0"/>
          <c:showVal val="0"/>
          <c:showCatName val="0"/>
          <c:showSerName val="0"/>
          <c:showPercent val="0"/>
          <c:showBubbleSize val="0"/>
        </c:dLbls>
        <c:smooth val="0"/>
        <c:axId val="1582048831"/>
        <c:axId val="1582051327"/>
      </c:lineChart>
      <c:catAx>
        <c:axId val="15820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51327"/>
        <c:crosses val="autoZero"/>
        <c:auto val="1"/>
        <c:lblAlgn val="ctr"/>
        <c:lblOffset val="100"/>
        <c:noMultiLvlLbl val="0"/>
      </c:catAx>
      <c:valAx>
        <c:axId val="158205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6-476E-A62F-EEB125CCA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66-476E-A62F-EEB125CCAC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66-476E-A62F-EEB125CCAC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66-476E-A62F-EEB125CCAC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66-476E-A62F-EEB125CCAC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66-476E-A62F-EEB125CCAC8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66-476E-A62F-EEB125CCAC8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266-476E-A62F-EEB125CCAC8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266-476E-A62F-EEB125CCAC8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266-476E-A62F-EEB125CCAC8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266-476E-A62F-EEB125CCAC8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266-476E-A62F-EEB125CCAC8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266-476E-A62F-EEB125CCAC8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266-476E-A62F-EEB125CCAC8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266-476E-A62F-EEB125CCAC8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266-476E-A62F-EEB125CCAC8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266-476E-A62F-EEB125CCAC89}"/>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9266-476E-A62F-EEB125CCAC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9B85-49D8-ACCD-B7337BF0A472}"/>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5266-4E96-B38E-B38F12AEC28E}"/>
            </c:ext>
          </c:extLst>
        </c:ser>
        <c:dLbls>
          <c:showLegendKey val="0"/>
          <c:showVal val="0"/>
          <c:showCatName val="0"/>
          <c:showSerName val="0"/>
          <c:showPercent val="0"/>
          <c:showBubbleSize val="0"/>
        </c:dLbls>
        <c:gapWidth val="219"/>
        <c:overlap val="-27"/>
        <c:axId val="2012957967"/>
        <c:axId val="2012949647"/>
      </c:barChart>
      <c:catAx>
        <c:axId val="201295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49647"/>
        <c:crosses val="autoZero"/>
        <c:auto val="1"/>
        <c:lblAlgn val="ctr"/>
        <c:lblOffset val="100"/>
        <c:noMultiLvlLbl val="0"/>
      </c:catAx>
      <c:valAx>
        <c:axId val="201294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5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9351-46C5-B6AA-32CA532186C5}"/>
            </c:ext>
          </c:extLst>
        </c:ser>
        <c:dLbls>
          <c:showLegendKey val="0"/>
          <c:showVal val="0"/>
          <c:showCatName val="0"/>
          <c:showSerName val="0"/>
          <c:showPercent val="0"/>
          <c:showBubbleSize val="0"/>
        </c:dLbls>
        <c:smooth val="0"/>
        <c:axId val="2012899727"/>
        <c:axId val="2012908463"/>
      </c:lineChart>
      <c:catAx>
        <c:axId val="20128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8463"/>
        <c:crosses val="autoZero"/>
        <c:auto val="1"/>
        <c:lblAlgn val="ctr"/>
        <c:lblOffset val="100"/>
        <c:noMultiLvlLbl val="0"/>
      </c:catAx>
      <c:valAx>
        <c:axId val="201290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A-4291-A58C-B4CC7AB7D9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A-4291-A58C-B4CC7AB7D9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BA-4291-A58C-B4CC7AB7D9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BA-4291-A58C-B4CC7AB7D9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BA-4291-A58C-B4CC7AB7D9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CBA-4291-A58C-B4CC7AB7D9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CBA-4291-A58C-B4CC7AB7D94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CBA-4291-A58C-B4CC7AB7D94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CBA-4291-A58C-B4CC7AB7D94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CBA-4291-A58C-B4CC7AB7D94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CBA-4291-A58C-B4CC7AB7D94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CBA-4291-A58C-B4CC7AB7D94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CBA-4291-A58C-B4CC7AB7D94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CBA-4291-A58C-B4CC7AB7D94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CBA-4291-A58C-B4CC7AB7D94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CBA-4291-A58C-B4CC7AB7D94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CBA-4291-A58C-B4CC7AB7D94A}"/>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DCBA-4291-A58C-B4CC7AB7D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00-FDD7-4126-9ACD-EF93863D2665}"/>
            </c:ext>
          </c:extLst>
        </c:ser>
        <c:dLbls>
          <c:showLegendKey val="0"/>
          <c:showVal val="0"/>
          <c:showCatName val="0"/>
          <c:showSerName val="0"/>
          <c:showPercent val="0"/>
          <c:showBubbleSize val="0"/>
        </c:dLbls>
        <c:gapWidth val="219"/>
        <c:overlap val="-27"/>
        <c:axId val="1793469231"/>
        <c:axId val="1793475887"/>
      </c:barChart>
      <c:catAx>
        <c:axId val="1793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5887"/>
        <c:crosses val="autoZero"/>
        <c:auto val="1"/>
        <c:lblAlgn val="ctr"/>
        <c:lblOffset val="100"/>
        <c:noMultiLvlLbl val="0"/>
      </c:catAx>
      <c:valAx>
        <c:axId val="17934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smooth val="0"/>
          <c:extLst>
            <c:ext xmlns:c16="http://schemas.microsoft.com/office/drawing/2014/chart" uri="{C3380CC4-5D6E-409C-BE32-E72D297353CC}">
              <c16:uniqueId val="{00000000-37D2-41AE-AB2B-3D5C74943B4A}"/>
            </c:ext>
          </c:extLst>
        </c:ser>
        <c:dLbls>
          <c:showLegendKey val="0"/>
          <c:showVal val="0"/>
          <c:showCatName val="0"/>
          <c:showSerName val="0"/>
          <c:showPercent val="0"/>
          <c:showBubbleSize val="0"/>
        </c:dLbls>
        <c:smooth val="0"/>
        <c:axId val="2012899727"/>
        <c:axId val="2012908463"/>
      </c:lineChart>
      <c:catAx>
        <c:axId val="20128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8463"/>
        <c:crosses val="autoZero"/>
        <c:auto val="1"/>
        <c:lblAlgn val="ctr"/>
        <c:lblOffset val="100"/>
        <c:noMultiLvlLbl val="0"/>
      </c:catAx>
      <c:valAx>
        <c:axId val="201290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54-47E9-8ACB-3DB76A72A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54-47E9-8ACB-3DB76A72A6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54-47E9-8ACB-3DB76A72A6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54-47E9-8ACB-3DB76A72A6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54-47E9-8ACB-3DB76A72A6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54-47E9-8ACB-3DB76A72A6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54-47E9-8ACB-3DB76A72A65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54-47E9-8ACB-3DB76A72A65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E54-47E9-8ACB-3DB76A72A65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E54-47E9-8ACB-3DB76A72A65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E54-47E9-8ACB-3DB76A72A65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E54-47E9-8ACB-3DB76A72A65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E54-47E9-8ACB-3DB76A72A65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E54-47E9-8ACB-3DB76A72A65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E54-47E9-8ACB-3DB76A72A65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E54-47E9-8ACB-3DB76A72A65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E54-47E9-8ACB-3DB76A72A659}"/>
              </c:ext>
            </c:extLst>
          </c:dPt>
          <c:cat>
            <c:multiLvlStrRef>
              <c:f>'Pivot table'!$A$4:$A$25</c:f>
              <c:multiLvlStrCache>
                <c:ptCount val="17"/>
                <c:lvl>
                  <c:pt idx="0">
                    <c:v>East</c:v>
                  </c:pt>
                  <c:pt idx="1">
                    <c:v>North</c:v>
                  </c:pt>
                  <c:pt idx="2">
                    <c:v>South</c:v>
                  </c:pt>
                  <c:pt idx="3">
                    <c:v>West</c:v>
                  </c:pt>
                  <c:pt idx="4">
                    <c:v>East</c:v>
                  </c:pt>
                  <c:pt idx="5">
                    <c:v>North</c:v>
                  </c:pt>
                  <c:pt idx="6">
                    <c:v>South</c:v>
                  </c:pt>
                  <c:pt idx="7">
                    <c:v>West</c:v>
                  </c:pt>
                  <c:pt idx="8">
                    <c:v>East</c:v>
                  </c:pt>
                  <c:pt idx="9">
                    <c:v>North</c:v>
                  </c:pt>
                  <c:pt idx="10">
                    <c:v>South</c:v>
                  </c:pt>
                  <c:pt idx="11">
                    <c:v>South </c:v>
                  </c:pt>
                  <c:pt idx="12">
                    <c:v>West</c:v>
                  </c:pt>
                  <c:pt idx="13">
                    <c:v>East</c:v>
                  </c:pt>
                  <c:pt idx="14">
                    <c:v>North</c:v>
                  </c:pt>
                  <c:pt idx="15">
                    <c:v>South</c:v>
                  </c:pt>
                  <c:pt idx="16">
                    <c:v>West</c:v>
                  </c:pt>
                </c:lvl>
                <c:lvl>
                  <c:pt idx="0">
                    <c:v>Accessories</c:v>
                  </c:pt>
                  <c:pt idx="4">
                    <c:v>Electronics</c:v>
                  </c:pt>
                  <c:pt idx="8">
                    <c:v>Furniture</c:v>
                  </c:pt>
                  <c:pt idx="13">
                    <c:v>Office</c:v>
                  </c:pt>
                </c:lvl>
              </c:multiLvlStrCache>
            </c:multiLvlStrRef>
          </c:cat>
          <c:val>
            <c:numRef>
              <c:f>'Pivot table'!$B$4:$B$25</c:f>
              <c:numCache>
                <c:formatCode>General</c:formatCode>
                <c:ptCount val="17"/>
                <c:pt idx="0">
                  <c:v>89195</c:v>
                </c:pt>
                <c:pt idx="1">
                  <c:v>48180</c:v>
                </c:pt>
                <c:pt idx="2">
                  <c:v>93230</c:v>
                </c:pt>
                <c:pt idx="3">
                  <c:v>62730</c:v>
                </c:pt>
                <c:pt idx="4">
                  <c:v>2580200</c:v>
                </c:pt>
                <c:pt idx="5">
                  <c:v>1324900</c:v>
                </c:pt>
                <c:pt idx="6">
                  <c:v>2205850</c:v>
                </c:pt>
                <c:pt idx="7">
                  <c:v>2085350</c:v>
                </c:pt>
                <c:pt idx="8">
                  <c:v>252425</c:v>
                </c:pt>
                <c:pt idx="9">
                  <c:v>244625</c:v>
                </c:pt>
                <c:pt idx="10">
                  <c:v>370050</c:v>
                </c:pt>
                <c:pt idx="11">
                  <c:v>19800</c:v>
                </c:pt>
                <c:pt idx="12">
                  <c:v>474650</c:v>
                </c:pt>
                <c:pt idx="13">
                  <c:v>82800</c:v>
                </c:pt>
                <c:pt idx="14">
                  <c:v>123600</c:v>
                </c:pt>
                <c:pt idx="15">
                  <c:v>282600</c:v>
                </c:pt>
                <c:pt idx="16">
                  <c:v>127800</c:v>
                </c:pt>
              </c:numCache>
            </c:numRef>
          </c:val>
          <c:extLst>
            <c:ext xmlns:c16="http://schemas.microsoft.com/office/drawing/2014/chart" uri="{C3380CC4-5D6E-409C-BE32-E72D297353CC}">
              <c16:uniqueId val="{00000022-FE54-47E9-8ACB-3DB76A72A6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82379</xdr:colOff>
      <xdr:row>0</xdr:row>
      <xdr:rowOff>144163</xdr:rowOff>
    </xdr:from>
    <xdr:to>
      <xdr:col>16</xdr:col>
      <xdr:colOff>387179</xdr:colOff>
      <xdr:row>15</xdr:row>
      <xdr:rowOff>144163</xdr:rowOff>
    </xdr:to>
    <xdr:graphicFrame macro="">
      <xdr:nvGraphicFramePr>
        <xdr:cNvPr id="4" name="Chart 3">
          <a:extLst>
            <a:ext uri="{FF2B5EF4-FFF2-40B4-BE49-F238E27FC236}">
              <a16:creationId xmlns:a16="http://schemas.microsoft.com/office/drawing/2014/main" id="{8BBC6036-F860-4482-A882-1F3BB21AD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195649</xdr:colOff>
      <xdr:row>0</xdr:row>
      <xdr:rowOff>164756</xdr:rowOff>
    </xdr:from>
    <xdr:to>
      <xdr:col>24</xdr:col>
      <xdr:colOff>500449</xdr:colOff>
      <xdr:row>15</xdr:row>
      <xdr:rowOff>164756</xdr:rowOff>
    </xdr:to>
    <xdr:graphicFrame macro="">
      <xdr:nvGraphicFramePr>
        <xdr:cNvPr id="5" name="Chart 4">
          <a:extLst>
            <a:ext uri="{FF2B5EF4-FFF2-40B4-BE49-F238E27FC236}">
              <a16:creationId xmlns:a16="http://schemas.microsoft.com/office/drawing/2014/main" id="{4496E070-0E09-4B8D-BB0A-B0843D4CB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xdr:row>
      <xdr:rowOff>0</xdr:rowOff>
    </xdr:from>
    <xdr:to>
      <xdr:col>8</xdr:col>
      <xdr:colOff>304800</xdr:colOff>
      <xdr:row>16</xdr:row>
      <xdr:rowOff>0</xdr:rowOff>
    </xdr:to>
    <xdr:graphicFrame macro="">
      <xdr:nvGraphicFramePr>
        <xdr:cNvPr id="6" name="Chart 5">
          <a:extLst>
            <a:ext uri="{FF2B5EF4-FFF2-40B4-BE49-F238E27FC236}">
              <a16:creationId xmlns:a16="http://schemas.microsoft.com/office/drawing/2014/main" id="{A1AC60FD-FECD-407C-AA4B-65FA2213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0</xdr:rowOff>
    </xdr:from>
    <xdr:to>
      <xdr:col>7</xdr:col>
      <xdr:colOff>319216</xdr:colOff>
      <xdr:row>36</xdr:row>
      <xdr:rowOff>148281</xdr:rowOff>
    </xdr:to>
    <xdr:graphicFrame macro="">
      <xdr:nvGraphicFramePr>
        <xdr:cNvPr id="7" name="Chart 6">
          <a:extLst>
            <a:ext uri="{FF2B5EF4-FFF2-40B4-BE49-F238E27FC236}">
              <a16:creationId xmlns:a16="http://schemas.microsoft.com/office/drawing/2014/main" id="{B7F96078-C6F5-49C7-9208-B632545BB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22</xdr:row>
      <xdr:rowOff>0</xdr:rowOff>
    </xdr:from>
    <xdr:to>
      <xdr:col>15</xdr:col>
      <xdr:colOff>319216</xdr:colOff>
      <xdr:row>36</xdr:row>
      <xdr:rowOff>148281</xdr:rowOff>
    </xdr:to>
    <xdr:graphicFrame macro="">
      <xdr:nvGraphicFramePr>
        <xdr:cNvPr id="8" name="Chart 7">
          <a:extLst>
            <a:ext uri="{FF2B5EF4-FFF2-40B4-BE49-F238E27FC236}">
              <a16:creationId xmlns:a16="http://schemas.microsoft.com/office/drawing/2014/main" id="{B9AFA75E-D830-40B4-8512-576F8FD2C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39</xdr:row>
      <xdr:rowOff>0</xdr:rowOff>
    </xdr:from>
    <xdr:to>
      <xdr:col>11</xdr:col>
      <xdr:colOff>319216</xdr:colOff>
      <xdr:row>53</xdr:row>
      <xdr:rowOff>148281</xdr:rowOff>
    </xdr:to>
    <xdr:graphicFrame macro="">
      <xdr:nvGraphicFramePr>
        <xdr:cNvPr id="9" name="Chart 8">
          <a:extLst>
            <a:ext uri="{FF2B5EF4-FFF2-40B4-BE49-F238E27FC236}">
              <a16:creationId xmlns:a16="http://schemas.microsoft.com/office/drawing/2014/main" id="{86D94C97-F48B-4924-9CE6-14B93A91A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290383</xdr:colOff>
      <xdr:row>18</xdr:row>
      <xdr:rowOff>37071</xdr:rowOff>
    </xdr:to>
    <xdr:graphicFrame macro="">
      <xdr:nvGraphicFramePr>
        <xdr:cNvPr id="2" name="Chart 1">
          <a:extLst>
            <a:ext uri="{FF2B5EF4-FFF2-40B4-BE49-F238E27FC236}">
              <a16:creationId xmlns:a16="http://schemas.microsoft.com/office/drawing/2014/main" id="{5FA2696D-121B-4458-A813-A4F1D3C8E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9" name="Chart 8">
          <a:extLst>
            <a:ext uri="{FF2B5EF4-FFF2-40B4-BE49-F238E27FC236}">
              <a16:creationId xmlns:a16="http://schemas.microsoft.com/office/drawing/2014/main" id="{FC1C579F-0643-46A5-977E-FAF6F8913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10" name="Chart 9">
          <a:extLst>
            <a:ext uri="{FF2B5EF4-FFF2-40B4-BE49-F238E27FC236}">
              <a16:creationId xmlns:a16="http://schemas.microsoft.com/office/drawing/2014/main" id="{1EBBC1DA-9ACB-478B-84FB-58F69BD46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19</xdr:row>
      <xdr:rowOff>0</xdr:rowOff>
    </xdr:from>
    <xdr:to>
      <xdr:col>11</xdr:col>
      <xdr:colOff>0</xdr:colOff>
      <xdr:row>32</xdr:row>
      <xdr:rowOff>89535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A785F1FE-C71C-48EE-8654-2E646B3C16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43397" y="3569918"/>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19</xdr:row>
      <xdr:rowOff>0</xdr:rowOff>
    </xdr:from>
    <xdr:to>
      <xdr:col>14</xdr:col>
      <xdr:colOff>0</xdr:colOff>
      <xdr:row>32</xdr:row>
      <xdr:rowOff>89535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E876B89-A46D-4D00-89FD-2AE1390055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59671" y="3569918"/>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0</xdr:rowOff>
    </xdr:from>
    <xdr:to>
      <xdr:col>21</xdr:col>
      <xdr:colOff>289560</xdr:colOff>
      <xdr:row>10</xdr:row>
      <xdr:rowOff>91440</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54A729E5-4504-401B-8E02-3C423A9A77E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686795" y="563671"/>
              <a:ext cx="3316683" cy="14066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0</xdr:colOff>
      <xdr:row>11</xdr:row>
      <xdr:rowOff>0</xdr:rowOff>
    </xdr:from>
    <xdr:to>
      <xdr:col>19</xdr:col>
      <xdr:colOff>0</xdr:colOff>
      <xdr:row>24</xdr:row>
      <xdr:rowOff>89535</xdr:rowOff>
    </xdr:to>
    <mc:AlternateContent xmlns:mc="http://schemas.openxmlformats.org/markup-compatibility/2006" xmlns:a14="http://schemas.microsoft.com/office/drawing/2010/main">
      <mc:Choice Requires="a14">
        <xdr:graphicFrame macro="">
          <xdr:nvGraphicFramePr>
            <xdr:cNvPr id="16" name="Order Status">
              <a:extLst>
                <a:ext uri="{FF2B5EF4-FFF2-40B4-BE49-F238E27FC236}">
                  <a16:creationId xmlns:a16="http://schemas.microsoft.com/office/drawing/2014/main" id="{A1CE4ADB-4E80-49FA-AC41-A2508241413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9686795" y="2066795"/>
              <a:ext cx="1816273"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24</xdr:row>
      <xdr:rowOff>89535</xdr:rowOff>
    </xdr:to>
    <mc:AlternateContent xmlns:mc="http://schemas.openxmlformats.org/markup-compatibility/2006" xmlns:a14="http://schemas.microsoft.com/office/drawing/2010/main">
      <mc:Choice Requires="a14">
        <xdr:graphicFrame macro="">
          <xdr:nvGraphicFramePr>
            <xdr:cNvPr id="17" name="Salesperson">
              <a:extLst>
                <a:ext uri="{FF2B5EF4-FFF2-40B4-BE49-F238E27FC236}">
                  <a16:creationId xmlns:a16="http://schemas.microsoft.com/office/drawing/2014/main" id="{464ECF44-C56B-4B89-8AAD-5A0C1A47792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503068" y="2066795"/>
              <a:ext cx="1816274"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393894675923" createdVersion="7" refreshedVersion="7" minRefreshableVersion="3" recordCount="150" xr:uid="{B541338C-3028-499E-9F71-313B63B3E5FC}">
  <cacheSource type="worksheet">
    <worksheetSource ref="D1:N151" sheet="Cleaned data"/>
  </cacheSource>
  <cacheFields count="11">
    <cacheField name="Product" numFmtId="0">
      <sharedItems/>
    </cacheField>
    <cacheField name="Category" numFmtId="0">
      <sharedItems count="4">
        <s v="Electronics"/>
        <s v="Accessories"/>
        <s v="Furniture"/>
        <s v="Office"/>
      </sharedItems>
    </cacheField>
    <cacheField name="Region" numFmtId="0">
      <sharedItems count="5">
        <s v="South"/>
        <s v="North"/>
        <s v="East"/>
        <s v="West"/>
        <s v="South "/>
      </sharedItems>
    </cacheField>
    <cacheField name="Salesperson" numFmtId="0">
      <sharedItems containsBlank="1" count="7">
        <s v="Diya"/>
        <s v="Aarav"/>
        <s v="Anaya"/>
        <s v="Kabir"/>
        <s v="Rohan"/>
        <s v="Meera"/>
        <m/>
      </sharedItems>
    </cacheField>
    <cacheField name="Customer" numFmtId="0">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acheField>
    <cacheField name="Order Status" numFmtId="0">
      <sharedItems count="3">
        <s v="Cancelled"/>
        <s v="Pending"/>
        <s v="Completed"/>
      </sharedItems>
    </cacheField>
  </cacheFields>
  <extLst>
    <ext xmlns:x14="http://schemas.microsoft.com/office/spreadsheetml/2009/9/main" uri="{725AE2AE-9491-48be-B2B4-4EB974FC3084}">
      <x14:pivotCacheDefinition pivotCacheId="495829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0.461612037034" createdVersion="7" refreshedVersion="7" minRefreshableVersion="3" recordCount="150" xr:uid="{184A1B84-7E04-4E1E-B94F-5F44E774A751}">
  <cacheSource type="worksheet">
    <worksheetSource name="Table1"/>
  </cacheSource>
  <cacheFields count="19">
    <cacheField name="Order ID" numFmtId="0">
      <sharedItems containsSemiMixedTypes="0" containsString="0" containsNumber="1" containsInteger="1" minValue="1001" maxValue="1150"/>
    </cacheField>
    <cacheField name="Order Date" numFmtId="14">
      <sharedItems containsSemiMixedTypes="0" containsNonDate="0" containsDate="1" containsString="0" minDate="2025-01-13T00:00:00" maxDate="2025-12-27T00:00:00" count="123">
        <d v="2025-05-06T00:00:00"/>
        <d v="2025-01-16T00:00:00"/>
        <d v="2025-08-18T00:00:00"/>
        <d v="2025-04-21T00:00:00"/>
        <d v="2025-05-16T00:00:00"/>
        <d v="2025-07-05T00:00:00"/>
        <d v="2025-02-21T00:00:00"/>
        <d v="2025-12-10T00:00:00"/>
        <d v="2025-08-25T00:00:00"/>
        <d v="2025-06-11T00:00:00"/>
        <d v="2025-07-22T00:00:00"/>
        <d v="2025-08-08T00:00:00"/>
        <d v="2025-02-26T00:00:00"/>
        <d v="2025-11-02T00:00:00"/>
        <d v="2025-02-27T00:00:00"/>
        <d v="2025-02-24T00:00:00"/>
        <d v="2025-09-29T00:00:00"/>
        <d v="2025-05-03T00:00:00"/>
        <d v="2025-03-06T00:00:00"/>
        <d v="2025-10-04T00:00:00"/>
        <d v="2025-05-07T00:00:00"/>
        <d v="2025-04-23T00:00:00"/>
        <d v="2025-02-06T00:00:00"/>
        <d v="2025-10-23T00:00:00"/>
        <d v="2025-12-04T00:00:00"/>
        <d v="2025-07-26T00:00:00"/>
        <d v="2025-08-05T00:00:00"/>
        <d v="2025-11-30T00:00:00"/>
        <d v="2025-04-20T00:00:00"/>
        <d v="2025-05-27T00:00:00"/>
        <d v="2025-01-30T00:00:00"/>
        <d v="2025-10-17T00:00:00"/>
        <d v="2025-10-03T00:00:00"/>
        <d v="2025-05-26T00:00:00"/>
        <d v="2025-06-03T00:00:00"/>
        <d v="2025-05-25T00:00:00"/>
        <d v="2025-01-27T00:00:00"/>
        <d v="2025-11-23T00:00:00"/>
        <d v="2025-02-08T00:00:00"/>
        <d v="2025-03-07T00:00:00"/>
        <d v="2025-07-01T00:00:00"/>
        <d v="2025-01-13T00:00:00"/>
        <d v="2025-12-26T00:00:00"/>
        <d v="2025-06-29T00:00:00"/>
        <d v="2025-02-05T00:00:00"/>
        <d v="2025-05-14T00:00:00"/>
        <d v="2025-06-10T00:00:00"/>
        <d v="2025-01-23T00:00:00"/>
        <d v="2025-11-16T00:00:00"/>
        <d v="2025-06-17T00:00:00"/>
        <d v="2025-11-12T00:00:00"/>
        <d v="2025-10-24T00:00:00"/>
        <d v="2025-04-12T00:00:00"/>
        <d v="2025-08-01T00:00:00"/>
        <d v="2025-12-02T00:00:00"/>
        <d v="2025-10-13T00:00:00"/>
        <d v="2025-11-10T00:00:00"/>
        <d v="2025-05-01T00:00:00"/>
        <d v="2025-12-22T00:00:00"/>
        <d v="2025-08-27T00:00:00"/>
        <d v="2025-07-14T00:00:00"/>
        <d v="2025-08-28T00:00:00"/>
        <d v="2025-11-26T00:00:00"/>
        <d v="2025-02-11T00:00:00"/>
        <d v="2025-08-31T00:00:00"/>
        <d v="2025-11-07T00:00:00"/>
        <d v="2025-12-13T00:00:00"/>
        <d v="2025-12-23T00:00:00"/>
        <d v="2025-08-10T00:00:00"/>
        <d v="2025-01-15T00:00:00"/>
        <d v="2025-05-24T00:00:00"/>
        <d v="2025-10-12T00:00:00"/>
        <d v="2025-04-24T00:00:00"/>
        <d v="2025-05-09T00:00:00"/>
        <d v="2025-07-04T00:00:00"/>
        <d v="2025-05-30T00:00:00"/>
        <d v="2025-09-03T00:00:00"/>
        <d v="2025-07-25T00:00:00"/>
        <d v="2025-05-08T00:00:00"/>
        <d v="2025-02-20T00:00:00"/>
        <d v="2025-10-10T00:00:00"/>
        <d v="2025-01-17T00:00:00"/>
        <d v="2025-11-17T00:00:00"/>
        <d v="2025-01-31T00:00:00"/>
        <d v="2025-12-25T00:00:00"/>
        <d v="2025-06-15T00:00:00"/>
        <d v="2025-02-16T00:00:00"/>
        <d v="2025-07-30T00:00:00"/>
        <d v="2025-01-28T00:00:00"/>
        <d v="2025-10-09T00:00:00"/>
        <d v="2025-06-09T00:00:00"/>
        <d v="2025-11-28T00:00:00"/>
        <d v="2025-08-30T00:00:00"/>
        <d v="2025-05-22T00:00:00"/>
        <d v="2025-06-14T00:00:00"/>
        <d v="2025-10-30T00:00:00"/>
        <d v="2025-03-15T00:00:00"/>
        <d v="2025-12-21T00:00:00"/>
        <d v="2025-10-05T00:00:00"/>
        <d v="2025-05-31T00:00:00"/>
        <d v="2025-12-16T00:00:00"/>
        <d v="2025-10-26T00:00:00"/>
        <d v="2025-05-28T00:00:00"/>
        <d v="2025-08-22T00:00:00"/>
        <d v="2025-07-03T00:00:00"/>
        <d v="2025-12-18T00:00:00"/>
        <d v="2025-11-22T00:00:00"/>
        <d v="2025-01-18T00:00:00"/>
        <d v="2025-04-13T00:00:00"/>
        <d v="2025-05-12T00:00:00"/>
        <d v="2025-04-26T00:00:00"/>
        <d v="2025-03-05T00:00:00"/>
        <d v="2025-12-12T00:00:00"/>
        <d v="2025-09-10T00:00:00"/>
        <d v="2025-08-03T00:00:00"/>
        <d v="2025-10-06T00:00:00"/>
        <d v="2025-12-06T00:00:00"/>
        <d v="2025-03-17T00:00:00"/>
        <d v="2025-03-31T00:00:00"/>
        <d v="2025-09-16T00:00:00"/>
        <d v="2025-04-27T00:00:00"/>
        <d v="2025-08-07T00:00:00"/>
        <d v="2025-02-13T00:00:00"/>
      </sharedItems>
      <fieldGroup par="18" base="1">
        <rangePr groupBy="days" startDate="2025-01-13T00:00:00" endDate="2025-12-27T00:00:00"/>
        <groupItems count="368">
          <s v="&lt;1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Product ID" numFmtId="0">
      <sharedItems/>
    </cacheField>
    <cacheField name="Product" numFmtId="0">
      <sharedItems count="10">
        <s v="Smartphone"/>
        <s v="Headphones"/>
        <s v="Mouse"/>
        <s v="Keyboard"/>
        <s v="Tablet"/>
        <s v="Laptop"/>
        <s v="Office Chair"/>
        <s v="Printer"/>
        <s v="Monitor"/>
        <s v="Desk"/>
      </sharedItems>
    </cacheField>
    <cacheField name="Category" numFmtId="0">
      <sharedItems/>
    </cacheField>
    <cacheField name="Region" numFmtId="0">
      <sharedItems/>
    </cacheField>
    <cacheField name="Salesperson" numFmtId="0">
      <sharedItems containsBlank="1"/>
    </cacheField>
    <cacheField name="Customer" numFmtId="0">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800" maxValue="55000"/>
    </cacheField>
    <cacheField name="Discount" numFmtId="9">
      <sharedItems containsSemiMixedTypes="0" containsString="0" containsNumber="1" minValue="0" maxValue="0.15"/>
    </cacheField>
    <cacheField name="Sales Amount" numFmtId="4">
      <sharedItems containsSemiMixedTypes="0" containsString="0" containsNumber="1" containsInteger="1" minValue="800" maxValue="440000"/>
    </cacheField>
    <cacheField name="Payment Method" numFmtId="0">
      <sharedItems containsBlank="1"/>
    </cacheField>
    <cacheField name="Order Status" numFmtId="0">
      <sharedItems/>
    </cacheField>
    <cacheField name="Product details" numFmtId="0">
      <sharedItems containsBlank="1"/>
    </cacheField>
    <cacheField name="High/low value" numFmtId="0">
      <sharedItems/>
    </cacheField>
    <cacheField name="Order search" numFmtId="0">
      <sharedItems containsBlank="1"/>
    </cacheField>
    <cacheField name="Result" numFmtId="0">
      <sharedItems/>
    </cacheField>
    <cacheField name="Months" numFmtId="0" databaseField="0">
      <fieldGroup base="1">
        <rangePr groupBy="months" startDate="2025-01-13T00:00:00" endDate="2025-12-27T00:00:00"/>
        <groupItems count="14">
          <s v="&lt;13-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922908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Smartphone"/>
    <x v="0"/>
    <x v="0"/>
    <x v="0"/>
    <s v="Customer 24"/>
    <n v="1"/>
    <n v="28000"/>
    <n v="0.05"/>
    <n v="26600"/>
    <s v="Cash"/>
    <x v="0"/>
  </r>
  <r>
    <s v="Smartphone"/>
    <x v="0"/>
    <x v="1"/>
    <x v="0"/>
    <s v="Customer 8"/>
    <n v="7"/>
    <n v="28000"/>
    <n v="0"/>
    <n v="196000"/>
    <s v="Cash"/>
    <x v="0"/>
  </r>
  <r>
    <s v="Headphones"/>
    <x v="1"/>
    <x v="2"/>
    <x v="1"/>
    <s v="Customer 25"/>
    <n v="7"/>
    <n v="2500"/>
    <n v="0"/>
    <n v="17500"/>
    <s v="Card"/>
    <x v="1"/>
  </r>
  <r>
    <s v="Mouse"/>
    <x v="1"/>
    <x v="2"/>
    <x v="1"/>
    <s v="Customer 3"/>
    <n v="5"/>
    <n v="800"/>
    <n v="0"/>
    <n v="4000"/>
    <s v="Bank Transfer"/>
    <x v="2"/>
  </r>
  <r>
    <s v="Mouse"/>
    <x v="1"/>
    <x v="1"/>
    <x v="2"/>
    <s v="Customer 15"/>
    <n v="6"/>
    <n v="800"/>
    <n v="0.15"/>
    <n v="4080"/>
    <s v="Cash"/>
    <x v="1"/>
  </r>
  <r>
    <s v="Smartphone"/>
    <x v="0"/>
    <x v="0"/>
    <x v="2"/>
    <s v="Customer 3"/>
    <n v="5"/>
    <n v="28000"/>
    <n v="0.15"/>
    <n v="119000"/>
    <s v="Cash"/>
    <x v="2"/>
  </r>
  <r>
    <s v="Keyboard"/>
    <x v="1"/>
    <x v="3"/>
    <x v="3"/>
    <s v="Customer 15"/>
    <n v="2"/>
    <n v="1200"/>
    <n v="0"/>
    <n v="2400"/>
    <s v="UPI"/>
    <x v="2"/>
  </r>
  <r>
    <s v="Mouse"/>
    <x v="1"/>
    <x v="2"/>
    <x v="2"/>
    <s v="Customer 30"/>
    <n v="6"/>
    <n v="800"/>
    <n v="0"/>
    <n v="4800"/>
    <s v="Cash"/>
    <x v="0"/>
  </r>
  <r>
    <s v="Tablet"/>
    <x v="0"/>
    <x v="3"/>
    <x v="3"/>
    <s v="Customer 30"/>
    <n v="4"/>
    <n v="22000"/>
    <n v="0"/>
    <n v="88000"/>
    <s v="Card"/>
    <x v="2"/>
  </r>
  <r>
    <s v="Laptop"/>
    <x v="0"/>
    <x v="3"/>
    <x v="3"/>
    <s v="Customer 3"/>
    <n v="4"/>
    <n v="55000"/>
    <n v="0"/>
    <n v="220000"/>
    <s v="Card"/>
    <x v="0"/>
  </r>
  <r>
    <s v="Mouse"/>
    <x v="1"/>
    <x v="3"/>
    <x v="0"/>
    <s v="Customer 9"/>
    <n v="4"/>
    <n v="800"/>
    <n v="0.1"/>
    <n v="2880"/>
    <s v="Card"/>
    <x v="2"/>
  </r>
  <r>
    <s v="Office Chair"/>
    <x v="2"/>
    <x v="3"/>
    <x v="3"/>
    <s v="Customer 8"/>
    <n v="5"/>
    <n v="8500"/>
    <n v="0.15"/>
    <n v="36125"/>
    <s v="Card"/>
    <x v="0"/>
  </r>
  <r>
    <s v="Printer"/>
    <x v="3"/>
    <x v="0"/>
    <x v="2"/>
    <s v="Customer 6"/>
    <n v="2"/>
    <n v="12000"/>
    <n v="0"/>
    <n v="24000"/>
    <s v="Bank Transfer"/>
    <x v="0"/>
  </r>
  <r>
    <s v="Smartphone"/>
    <x v="0"/>
    <x v="3"/>
    <x v="4"/>
    <s v="Customer 9"/>
    <n v="7"/>
    <n v="28000"/>
    <n v="0.1"/>
    <n v="176400"/>
    <s v="Cash"/>
    <x v="2"/>
  </r>
  <r>
    <s v="Office Chair"/>
    <x v="2"/>
    <x v="2"/>
    <x v="5"/>
    <s v="Customer 6"/>
    <n v="5"/>
    <n v="8500"/>
    <n v="0.05"/>
    <n v="40375"/>
    <s v="Bank Transfer"/>
    <x v="2"/>
  </r>
  <r>
    <s v="Keyboard"/>
    <x v="1"/>
    <x v="2"/>
    <x v="2"/>
    <s v="Customer 17"/>
    <n v="3"/>
    <n v="1200"/>
    <n v="0.15"/>
    <n v="3060"/>
    <s v="Card"/>
    <x v="2"/>
  </r>
  <r>
    <s v="Mouse"/>
    <x v="1"/>
    <x v="1"/>
    <x v="4"/>
    <s v="Customer 11"/>
    <n v="3"/>
    <n v="800"/>
    <n v="0.15"/>
    <n v="2040"/>
    <s v="Bank Transfer"/>
    <x v="2"/>
  </r>
  <r>
    <s v="Smartphone"/>
    <x v="0"/>
    <x v="1"/>
    <x v="0"/>
    <s v="Customer 29"/>
    <n v="6"/>
    <n v="28000"/>
    <n v="0.05"/>
    <n v="159600"/>
    <s v="Cash"/>
    <x v="2"/>
  </r>
  <r>
    <s v="Printer"/>
    <x v="3"/>
    <x v="0"/>
    <x v="6"/>
    <s v="Customer 16"/>
    <n v="2"/>
    <n v="12000"/>
    <n v="0.15"/>
    <n v="20400"/>
    <s v="Card"/>
    <x v="2"/>
  </r>
  <r>
    <s v="Office Chair"/>
    <x v="2"/>
    <x v="0"/>
    <x v="2"/>
    <s v="Customer 10"/>
    <n v="7"/>
    <n v="8500"/>
    <n v="0"/>
    <n v="59500"/>
    <s v="Bank Transfer"/>
    <x v="2"/>
  </r>
  <r>
    <s v="Printer"/>
    <x v="3"/>
    <x v="0"/>
    <x v="1"/>
    <s v="Customer 11"/>
    <n v="8"/>
    <n v="12000"/>
    <n v="0"/>
    <n v="96000"/>
    <s v="Cash"/>
    <x v="0"/>
  </r>
  <r>
    <s v="Office Chair"/>
    <x v="2"/>
    <x v="1"/>
    <x v="1"/>
    <s v="Customer 23"/>
    <n v="4"/>
    <n v="8500"/>
    <n v="0.15"/>
    <n v="28900"/>
    <s v="Cash"/>
    <x v="2"/>
  </r>
  <r>
    <s v="Smartphone"/>
    <x v="0"/>
    <x v="0"/>
    <x v="3"/>
    <s v="Customer 22"/>
    <n v="1"/>
    <n v="28000"/>
    <n v="0.05"/>
    <n v="26600"/>
    <s v="Bank Transfer"/>
    <x v="2"/>
  </r>
  <r>
    <s v="Office Chair"/>
    <x v="2"/>
    <x v="3"/>
    <x v="0"/>
    <s v="Customer 26"/>
    <n v="3"/>
    <n v="8500"/>
    <n v="0.15"/>
    <n v="21675"/>
    <s v="Bank Transfer"/>
    <x v="1"/>
  </r>
  <r>
    <s v="Headphones"/>
    <x v="1"/>
    <x v="3"/>
    <x v="3"/>
    <s v="Customer 14"/>
    <n v="2"/>
    <n v="2500"/>
    <n v="0"/>
    <n v="5000"/>
    <s v="Bank Transfer"/>
    <x v="1"/>
  </r>
  <r>
    <s v="Laptop"/>
    <x v="0"/>
    <x v="2"/>
    <x v="1"/>
    <s v="Customer 8"/>
    <n v="2"/>
    <n v="55000"/>
    <n v="0"/>
    <n v="110000"/>
    <s v="Card"/>
    <x v="2"/>
  </r>
  <r>
    <s v="Office Chair"/>
    <x v="2"/>
    <x v="0"/>
    <x v="3"/>
    <s v="Customer 15"/>
    <n v="8"/>
    <n v="8500"/>
    <n v="0"/>
    <n v="68000"/>
    <s v="Card"/>
    <x v="2"/>
  </r>
  <r>
    <s v="Printer"/>
    <x v="3"/>
    <x v="1"/>
    <x v="1"/>
    <s v="Customer 30"/>
    <n v="2"/>
    <n v="12000"/>
    <n v="0"/>
    <n v="24000"/>
    <s v="Card"/>
    <x v="2"/>
  </r>
  <r>
    <s v="Monitor"/>
    <x v="0"/>
    <x v="3"/>
    <x v="1"/>
    <s v="Customer 6"/>
    <n v="8"/>
    <n v="15000"/>
    <n v="0.1"/>
    <n v="108000"/>
    <s v="Bank Transfer"/>
    <x v="2"/>
  </r>
  <r>
    <s v="Monitor"/>
    <x v="0"/>
    <x v="3"/>
    <x v="2"/>
    <s v="Customer 24"/>
    <n v="5"/>
    <n v="15000"/>
    <n v="0.1"/>
    <n v="67500"/>
    <s v="Bank Transfer"/>
    <x v="2"/>
  </r>
  <r>
    <s v="Headphones"/>
    <x v="1"/>
    <x v="1"/>
    <x v="2"/>
    <s v="Customer 11"/>
    <n v="5"/>
    <n v="2500"/>
    <n v="0"/>
    <n v="12500"/>
    <s v="Cash"/>
    <x v="2"/>
  </r>
  <r>
    <s v="Desk"/>
    <x v="2"/>
    <x v="0"/>
    <x v="1"/>
    <s v="Customer 17"/>
    <n v="8"/>
    <n v="11000"/>
    <n v="0.15"/>
    <n v="74800"/>
    <s v="Cash"/>
    <x v="2"/>
  </r>
  <r>
    <s v="Smartphone"/>
    <x v="0"/>
    <x v="1"/>
    <x v="4"/>
    <s v="Customer 8"/>
    <n v="2"/>
    <n v="28000"/>
    <n v="0"/>
    <n v="56000"/>
    <s v="Cash"/>
    <x v="0"/>
  </r>
  <r>
    <s v="Smartphone"/>
    <x v="0"/>
    <x v="2"/>
    <x v="3"/>
    <s v="Customer 7"/>
    <n v="7"/>
    <n v="28000"/>
    <n v="0.15"/>
    <n v="166600"/>
    <s v="UPI"/>
    <x v="2"/>
  </r>
  <r>
    <s v="Keyboard"/>
    <x v="1"/>
    <x v="2"/>
    <x v="5"/>
    <s v="Customer 11"/>
    <n v="7"/>
    <n v="1200"/>
    <n v="0"/>
    <n v="8400"/>
    <s v="Cash"/>
    <x v="2"/>
  </r>
  <r>
    <s v="Printer"/>
    <x v="3"/>
    <x v="0"/>
    <x v="4"/>
    <s v="Customer 9"/>
    <n v="2"/>
    <n v="12000"/>
    <n v="0"/>
    <n v="24000"/>
    <s v="Card"/>
    <x v="2"/>
  </r>
  <r>
    <s v="Smartphone"/>
    <x v="0"/>
    <x v="0"/>
    <x v="5"/>
    <s v="Customer 27"/>
    <n v="4"/>
    <n v="28000"/>
    <n v="0.05"/>
    <n v="106400"/>
    <m/>
    <x v="0"/>
  </r>
  <r>
    <s v="Office Chair"/>
    <x v="2"/>
    <x v="1"/>
    <x v="0"/>
    <s v="Customer 9"/>
    <n v="1"/>
    <n v="8500"/>
    <n v="0.15"/>
    <n v="7225"/>
    <s v="Cash"/>
    <x v="2"/>
  </r>
  <r>
    <s v="Office Chair"/>
    <x v="2"/>
    <x v="0"/>
    <x v="2"/>
    <s v="Customer 11"/>
    <n v="3"/>
    <n v="8500"/>
    <n v="0.05"/>
    <n v="24225"/>
    <s v="Card"/>
    <x v="2"/>
  </r>
  <r>
    <s v="Office Chair"/>
    <x v="2"/>
    <x v="1"/>
    <x v="2"/>
    <s v="Customer 14"/>
    <n v="8"/>
    <n v="8500"/>
    <n v="0.05"/>
    <n v="64600"/>
    <s v="UPI"/>
    <x v="2"/>
  </r>
  <r>
    <s v="Laptop"/>
    <x v="0"/>
    <x v="2"/>
    <x v="0"/>
    <s v="Customer 24"/>
    <n v="6"/>
    <n v="55000"/>
    <n v="0"/>
    <n v="330000"/>
    <s v="Bank Transfer"/>
    <x v="0"/>
  </r>
  <r>
    <s v="Monitor"/>
    <x v="0"/>
    <x v="0"/>
    <x v="4"/>
    <s v="Customer 2"/>
    <n v="1"/>
    <n v="15000"/>
    <n v="0"/>
    <n v="15000"/>
    <s v="UPI"/>
    <x v="0"/>
  </r>
  <r>
    <s v="Office Chair"/>
    <x v="2"/>
    <x v="1"/>
    <x v="3"/>
    <s v="Customer 12"/>
    <n v="3"/>
    <n v="8500"/>
    <n v="0.1"/>
    <n v="22950"/>
    <s v="Cash"/>
    <x v="2"/>
  </r>
  <r>
    <s v="Headphones"/>
    <x v="1"/>
    <x v="3"/>
    <x v="4"/>
    <s v="Customer 24"/>
    <n v="4"/>
    <n v="2500"/>
    <n v="0"/>
    <n v="10000"/>
    <s v="Card"/>
    <x v="2"/>
  </r>
  <r>
    <s v="Tablet"/>
    <x v="0"/>
    <x v="0"/>
    <x v="2"/>
    <s v="Customer 30"/>
    <n v="3"/>
    <n v="22000"/>
    <n v="0.1"/>
    <n v="59400"/>
    <s v="UPI"/>
    <x v="1"/>
  </r>
  <r>
    <s v="Headphones"/>
    <x v="1"/>
    <x v="1"/>
    <x v="5"/>
    <s v="Customer 28"/>
    <n v="5"/>
    <n v="2500"/>
    <n v="0"/>
    <n v="12500"/>
    <s v="Cash"/>
    <x v="1"/>
  </r>
  <r>
    <s v="Headphones"/>
    <x v="1"/>
    <x v="2"/>
    <x v="0"/>
    <s v="Customer 8"/>
    <n v="4"/>
    <n v="2500"/>
    <n v="0.1"/>
    <n v="9000"/>
    <s v="Cash"/>
    <x v="2"/>
  </r>
  <r>
    <s v="Monitor"/>
    <x v="0"/>
    <x v="2"/>
    <x v="3"/>
    <s v="Customer 21"/>
    <n v="6"/>
    <n v="15000"/>
    <n v="0.05"/>
    <n v="85500"/>
    <s v="Bank Transfer"/>
    <x v="0"/>
  </r>
  <r>
    <s v="Mouse"/>
    <x v="1"/>
    <x v="0"/>
    <x v="4"/>
    <s v="Customer 9"/>
    <n v="1"/>
    <n v="800"/>
    <n v="0"/>
    <n v="800"/>
    <s v="Cash"/>
    <x v="2"/>
  </r>
  <r>
    <s v="Desk"/>
    <x v="2"/>
    <x v="3"/>
    <x v="4"/>
    <s v="Customer 17"/>
    <n v="7"/>
    <n v="11000"/>
    <n v="0.05"/>
    <n v="73150"/>
    <s v="Cash"/>
    <x v="1"/>
  </r>
  <r>
    <s v="Desk"/>
    <x v="2"/>
    <x v="3"/>
    <x v="1"/>
    <s v="Customer 17"/>
    <n v="4"/>
    <n v="11000"/>
    <n v="0.05"/>
    <n v="41800"/>
    <s v="Card"/>
    <x v="2"/>
  </r>
  <r>
    <s v="Monitor"/>
    <x v="0"/>
    <x v="2"/>
    <x v="2"/>
    <s v="Customer 28"/>
    <n v="2"/>
    <n v="15000"/>
    <n v="0.05"/>
    <n v="28500"/>
    <s v="Cash"/>
    <x v="2"/>
  </r>
  <r>
    <s v="Office Chair"/>
    <x v="2"/>
    <x v="3"/>
    <x v="2"/>
    <s v="Customer 10"/>
    <n v="5"/>
    <n v="8500"/>
    <n v="0.1"/>
    <n v="38250"/>
    <s v="Card"/>
    <x v="2"/>
  </r>
  <r>
    <s v="Monitor"/>
    <x v="0"/>
    <x v="2"/>
    <x v="5"/>
    <s v="Customer 18"/>
    <n v="7"/>
    <n v="15000"/>
    <n v="0"/>
    <n v="105000"/>
    <s v="Cash"/>
    <x v="2"/>
  </r>
  <r>
    <s v="Keyboard"/>
    <x v="1"/>
    <x v="2"/>
    <x v="5"/>
    <s v="Customer 15"/>
    <n v="4"/>
    <n v="1200"/>
    <n v="0.1"/>
    <n v="4320"/>
    <s v="Bank Transfer"/>
    <x v="2"/>
  </r>
  <r>
    <s v="Office Chair"/>
    <x v="2"/>
    <x v="1"/>
    <x v="3"/>
    <s v="Customer 17"/>
    <n v="8"/>
    <n v="8500"/>
    <n v="0"/>
    <n v="68000"/>
    <s v="UPI"/>
    <x v="2"/>
  </r>
  <r>
    <s v="Headphones"/>
    <x v="1"/>
    <x v="0"/>
    <x v="1"/>
    <s v="Customer 2"/>
    <n v="5"/>
    <n v="2500"/>
    <n v="0"/>
    <n v="12500"/>
    <s v="Card"/>
    <x v="1"/>
  </r>
  <r>
    <s v="Desk"/>
    <x v="2"/>
    <x v="4"/>
    <x v="2"/>
    <s v="Customer 23"/>
    <n v="2"/>
    <n v="11000"/>
    <n v="0.1"/>
    <n v="19800"/>
    <s v="Bank Transfer"/>
    <x v="1"/>
  </r>
  <r>
    <s v="Monitor"/>
    <x v="0"/>
    <x v="1"/>
    <x v="1"/>
    <s v="Customer 25"/>
    <n v="4"/>
    <n v="15000"/>
    <n v="0"/>
    <n v="60000"/>
    <s v="Bank Transfer"/>
    <x v="2"/>
  </r>
  <r>
    <s v="Tablet"/>
    <x v="0"/>
    <x v="0"/>
    <x v="1"/>
    <s v="Customer 15"/>
    <n v="8"/>
    <n v="22000"/>
    <n v="0"/>
    <n v="176000"/>
    <s v="Card"/>
    <x v="1"/>
  </r>
  <r>
    <s v="Office Chair"/>
    <x v="2"/>
    <x v="3"/>
    <x v="4"/>
    <s v="Customer 15"/>
    <n v="6"/>
    <n v="8500"/>
    <n v="0.1"/>
    <n v="45900"/>
    <s v="Card"/>
    <x v="1"/>
  </r>
  <r>
    <s v="Printer"/>
    <x v="3"/>
    <x v="2"/>
    <x v="4"/>
    <s v="Customer 16"/>
    <n v="5"/>
    <n v="12000"/>
    <n v="0"/>
    <n v="60000"/>
    <s v="Card"/>
    <x v="2"/>
  </r>
  <r>
    <s v="Printer"/>
    <x v="3"/>
    <x v="2"/>
    <x v="3"/>
    <s v="Customer 11"/>
    <n v="2"/>
    <n v="12000"/>
    <n v="0.05"/>
    <n v="22800"/>
    <s v="Cash"/>
    <x v="2"/>
  </r>
  <r>
    <s v="Tablet"/>
    <x v="0"/>
    <x v="0"/>
    <x v="2"/>
    <s v="Customer 7"/>
    <n v="4"/>
    <n v="22000"/>
    <n v="0.1"/>
    <n v="79200"/>
    <s v="Cash"/>
    <x v="1"/>
  </r>
  <r>
    <s v="Monitor"/>
    <x v="0"/>
    <x v="3"/>
    <x v="1"/>
    <s v="Customer 7"/>
    <n v="6"/>
    <n v="15000"/>
    <n v="0.15"/>
    <n v="76500"/>
    <s v="Bank Transfer"/>
    <x v="1"/>
  </r>
  <r>
    <s v="Desk"/>
    <x v="2"/>
    <x v="3"/>
    <x v="1"/>
    <s v="Customer 12"/>
    <n v="1"/>
    <n v="11000"/>
    <n v="0.15"/>
    <n v="9350"/>
    <s v="UPI"/>
    <x v="1"/>
  </r>
  <r>
    <s v="Monitor"/>
    <x v="0"/>
    <x v="2"/>
    <x v="5"/>
    <s v="Customer 16"/>
    <n v="4"/>
    <n v="15000"/>
    <n v="0.1"/>
    <n v="54000"/>
    <s v="Cash"/>
    <x v="1"/>
  </r>
  <r>
    <s v="Mouse"/>
    <x v="1"/>
    <x v="0"/>
    <x v="4"/>
    <s v="Customer 18"/>
    <n v="7"/>
    <n v="800"/>
    <n v="0"/>
    <n v="5600"/>
    <s v="Cash"/>
    <x v="1"/>
  </r>
  <r>
    <s v="Desk"/>
    <x v="2"/>
    <x v="3"/>
    <x v="0"/>
    <s v="Customer 28"/>
    <n v="1"/>
    <n v="11000"/>
    <n v="0"/>
    <n v="11000"/>
    <s v="Bank Transfer"/>
    <x v="2"/>
  </r>
  <r>
    <s v="Laptop"/>
    <x v="0"/>
    <x v="0"/>
    <x v="5"/>
    <s v="Customer 11"/>
    <n v="5"/>
    <n v="55000"/>
    <n v="0.1"/>
    <n v="247500"/>
    <s v="UPI"/>
    <x v="1"/>
  </r>
  <r>
    <s v="Keyboard"/>
    <x v="1"/>
    <x v="3"/>
    <x v="1"/>
    <s v="Customer 24"/>
    <n v="7"/>
    <n v="1200"/>
    <n v="0.05"/>
    <n v="7980"/>
    <s v="Cash"/>
    <x v="2"/>
  </r>
  <r>
    <s v="Headphones"/>
    <x v="1"/>
    <x v="0"/>
    <x v="0"/>
    <s v="Customer 27"/>
    <n v="2"/>
    <n v="2500"/>
    <n v="0"/>
    <n v="5000"/>
    <s v="Cash"/>
    <x v="0"/>
  </r>
  <r>
    <s v="Tablet"/>
    <x v="0"/>
    <x v="1"/>
    <x v="4"/>
    <s v="Customer 7"/>
    <n v="4"/>
    <n v="22000"/>
    <n v="0"/>
    <n v="88000"/>
    <s v="Bank Transfer"/>
    <x v="2"/>
  </r>
  <r>
    <s v="Mouse"/>
    <x v="1"/>
    <x v="1"/>
    <x v="0"/>
    <s v="Customer 10"/>
    <n v="3"/>
    <n v="800"/>
    <n v="0.15"/>
    <n v="2040"/>
    <s v="Cash"/>
    <x v="0"/>
  </r>
  <r>
    <s v="Laptop"/>
    <x v="0"/>
    <x v="3"/>
    <x v="5"/>
    <s v="Customer 23"/>
    <n v="5"/>
    <n v="55000"/>
    <n v="0.15"/>
    <n v="233750"/>
    <s v="Card"/>
    <x v="2"/>
  </r>
  <r>
    <s v="Desk"/>
    <x v="2"/>
    <x v="2"/>
    <x v="2"/>
    <s v="Customer 20"/>
    <n v="4"/>
    <n v="11000"/>
    <n v="0"/>
    <n v="44000"/>
    <s v="Cash"/>
    <x v="0"/>
  </r>
  <r>
    <s v="Laptop"/>
    <x v="0"/>
    <x v="2"/>
    <x v="1"/>
    <s v="Customer 17"/>
    <n v="6"/>
    <n v="55000"/>
    <n v="0.15"/>
    <n v="280500"/>
    <s v="UPI"/>
    <x v="2"/>
  </r>
  <r>
    <s v="Monitor"/>
    <x v="0"/>
    <x v="2"/>
    <x v="2"/>
    <s v="Customer 29"/>
    <n v="8"/>
    <n v="15000"/>
    <n v="0"/>
    <n v="120000"/>
    <s v="Bank Transfer"/>
    <x v="2"/>
  </r>
  <r>
    <s v="Monitor"/>
    <x v="0"/>
    <x v="2"/>
    <x v="4"/>
    <s v="Customer 26"/>
    <n v="3"/>
    <n v="15000"/>
    <n v="0.15"/>
    <n v="38250"/>
    <s v="Bank Transfer"/>
    <x v="1"/>
  </r>
  <r>
    <s v="Monitor"/>
    <x v="0"/>
    <x v="1"/>
    <x v="3"/>
    <s v="Customer 29"/>
    <n v="5"/>
    <n v="15000"/>
    <n v="0.05"/>
    <n v="71250"/>
    <s v="Bank Transfer"/>
    <x v="2"/>
  </r>
  <r>
    <s v="Printer"/>
    <x v="3"/>
    <x v="3"/>
    <x v="3"/>
    <s v="Customer 6"/>
    <n v="7"/>
    <n v="12000"/>
    <n v="0.05"/>
    <n v="79800"/>
    <s v="Bank Transfer"/>
    <x v="2"/>
  </r>
  <r>
    <s v="Mouse"/>
    <x v="1"/>
    <x v="2"/>
    <x v="4"/>
    <s v="Customer 1"/>
    <n v="5"/>
    <n v="800"/>
    <n v="0.05"/>
    <n v="3800"/>
    <s v="Card"/>
    <x v="2"/>
  </r>
  <r>
    <s v="Headphones"/>
    <x v="1"/>
    <x v="0"/>
    <x v="2"/>
    <s v="Customer 16"/>
    <n v="7"/>
    <n v="2500"/>
    <n v="0.1"/>
    <n v="15750"/>
    <s v="Bank Transfer"/>
    <x v="1"/>
  </r>
  <r>
    <s v="Laptop"/>
    <x v="0"/>
    <x v="3"/>
    <x v="2"/>
    <s v="Customer 8"/>
    <n v="2"/>
    <n v="55000"/>
    <n v="0.05"/>
    <n v="104500"/>
    <s v="UPI"/>
    <x v="0"/>
  </r>
  <r>
    <s v="Mouse"/>
    <x v="1"/>
    <x v="2"/>
    <x v="5"/>
    <s v="Customer 24"/>
    <n v="8"/>
    <n v="800"/>
    <n v="0.15"/>
    <n v="5440"/>
    <s v="UPI"/>
    <x v="2"/>
  </r>
  <r>
    <s v="Printer"/>
    <x v="3"/>
    <x v="0"/>
    <x v="1"/>
    <s v="Customer 24"/>
    <n v="5"/>
    <n v="12000"/>
    <n v="0.05"/>
    <n v="57000"/>
    <s v="Card"/>
    <x v="2"/>
  </r>
  <r>
    <s v="Smartphone"/>
    <x v="0"/>
    <x v="3"/>
    <x v="3"/>
    <s v="Customer 24"/>
    <n v="3"/>
    <n v="28000"/>
    <n v="0"/>
    <n v="84000"/>
    <s v="UPI"/>
    <x v="2"/>
  </r>
  <r>
    <s v="Headphones"/>
    <x v="1"/>
    <x v="0"/>
    <x v="3"/>
    <s v="Customer 1"/>
    <n v="5"/>
    <n v="2500"/>
    <n v="0"/>
    <n v="12500"/>
    <s v="Card"/>
    <x v="2"/>
  </r>
  <r>
    <s v="Laptop"/>
    <x v="0"/>
    <x v="0"/>
    <x v="2"/>
    <s v=" Customer 12 "/>
    <n v="1"/>
    <n v="55000"/>
    <n v="0.15"/>
    <n v="46750"/>
    <s v="Bank Transfer"/>
    <x v="2"/>
  </r>
  <r>
    <s v="Laptop"/>
    <x v="0"/>
    <x v="3"/>
    <x v="3"/>
    <s v="Customer 6"/>
    <n v="5"/>
    <n v="55000"/>
    <n v="0.1"/>
    <n v="247500"/>
    <s v="Cash"/>
    <x v="2"/>
  </r>
  <r>
    <s v="Printer"/>
    <x v="3"/>
    <x v="3"/>
    <x v="1"/>
    <s v="Customer 19"/>
    <n v="2"/>
    <n v="12000"/>
    <n v="0"/>
    <n v="24000"/>
    <s v="Cash"/>
    <x v="2"/>
  </r>
  <r>
    <s v="Tablet"/>
    <x v="0"/>
    <x v="1"/>
    <x v="4"/>
    <s v="Customer 25"/>
    <n v="5"/>
    <n v="22000"/>
    <n v="0"/>
    <n v="110000"/>
    <s v="Bank Transfer"/>
    <x v="0"/>
  </r>
  <r>
    <s v="Desk"/>
    <x v="2"/>
    <x v="3"/>
    <x v="5"/>
    <s v="Customer 10"/>
    <n v="4"/>
    <n v="11000"/>
    <n v="0.15"/>
    <n v="37400"/>
    <s v="Bank Transfer"/>
    <x v="2"/>
  </r>
  <r>
    <s v="Desk"/>
    <x v="2"/>
    <x v="0"/>
    <x v="2"/>
    <s v="Customer 7"/>
    <n v="1"/>
    <n v="11000"/>
    <n v="0.15"/>
    <n v="9350"/>
    <s v="UPI"/>
    <x v="2"/>
  </r>
  <r>
    <s v="Tablet"/>
    <x v="0"/>
    <x v="1"/>
    <x v="0"/>
    <s v="Customer 1"/>
    <n v="4"/>
    <n v="22000"/>
    <n v="0"/>
    <n v="88000"/>
    <s v="Bank Transfer"/>
    <x v="1"/>
  </r>
  <r>
    <s v="Desk"/>
    <x v="2"/>
    <x v="0"/>
    <x v="3"/>
    <s v="Customer 23"/>
    <n v="8"/>
    <n v="11000"/>
    <n v="0.05"/>
    <n v="83600"/>
    <s v="UPI"/>
    <x v="1"/>
  </r>
  <r>
    <s v="Smartphone"/>
    <x v="0"/>
    <x v="0"/>
    <x v="5"/>
    <s v="Customer 4"/>
    <n v="4"/>
    <n v="28000"/>
    <n v="0.05"/>
    <n v="106400"/>
    <s v="Card"/>
    <x v="2"/>
  </r>
  <r>
    <s v="Keyboard"/>
    <x v="1"/>
    <x v="0"/>
    <x v="3"/>
    <s v="Customer 20"/>
    <n v="3"/>
    <n v="1200"/>
    <n v="0"/>
    <n v="3600"/>
    <s v="UPI"/>
    <x v="1"/>
  </r>
  <r>
    <s v="Smartphone"/>
    <x v="0"/>
    <x v="3"/>
    <x v="3"/>
    <s v="Customer 17"/>
    <n v="8"/>
    <n v="28000"/>
    <n v="0.05"/>
    <n v="212800"/>
    <s v="Bank Transfer"/>
    <x v="1"/>
  </r>
  <r>
    <s v="Smartphone"/>
    <x v="0"/>
    <x v="2"/>
    <x v="1"/>
    <s v="Customer 3"/>
    <n v="1"/>
    <n v="28000"/>
    <n v="0.1"/>
    <n v="25200"/>
    <s v="Card"/>
    <x v="0"/>
  </r>
  <r>
    <s v="Desk"/>
    <x v="2"/>
    <x v="1"/>
    <x v="0"/>
    <s v="Customer 16"/>
    <n v="1"/>
    <n v="11000"/>
    <n v="0.05"/>
    <n v="10450"/>
    <s v="Bank Transfer"/>
    <x v="2"/>
  </r>
  <r>
    <s v="Tablet"/>
    <x v="0"/>
    <x v="3"/>
    <x v="3"/>
    <s v="Customer 14"/>
    <n v="7"/>
    <n v="22000"/>
    <n v="0.1"/>
    <n v="138600"/>
    <s v="UPI"/>
    <x v="2"/>
  </r>
  <r>
    <s v="Smartphone"/>
    <x v="0"/>
    <x v="3"/>
    <x v="3"/>
    <s v="Customer 22"/>
    <n v="3"/>
    <n v="28000"/>
    <n v="0.05"/>
    <n v="79800"/>
    <s v="Bank Transfer"/>
    <x v="0"/>
  </r>
  <r>
    <s v="Laptop"/>
    <x v="0"/>
    <x v="2"/>
    <x v="3"/>
    <s v="Customer 4"/>
    <n v="8"/>
    <n v="55000"/>
    <n v="0"/>
    <n v="440000"/>
    <s v="Bank Transfer"/>
    <x v="0"/>
  </r>
  <r>
    <s v="Laptop"/>
    <x v="0"/>
    <x v="0"/>
    <x v="4"/>
    <s v="Customer 12"/>
    <n v="8"/>
    <n v="55000"/>
    <n v="0.1"/>
    <n v="396000"/>
    <s v="Bank Transfer"/>
    <x v="1"/>
  </r>
  <r>
    <s v="Laptop"/>
    <x v="0"/>
    <x v="0"/>
    <x v="3"/>
    <s v="Customer 15"/>
    <n v="4"/>
    <n v="55000"/>
    <n v="0.05"/>
    <n v="209000"/>
    <s v="Bank Transfer"/>
    <x v="2"/>
  </r>
  <r>
    <s v="Laptop"/>
    <x v="0"/>
    <x v="1"/>
    <x v="4"/>
    <s v="Customer 14"/>
    <n v="4"/>
    <n v="55000"/>
    <n v="0"/>
    <n v="220000"/>
    <s v="Cash"/>
    <x v="2"/>
  </r>
  <r>
    <s v="Smartphone"/>
    <x v="0"/>
    <x v="0"/>
    <x v="5"/>
    <s v="Customer 30"/>
    <n v="8"/>
    <n v="28000"/>
    <n v="0"/>
    <n v="224000"/>
    <s v="UPI"/>
    <x v="0"/>
  </r>
  <r>
    <s v="Keyboard"/>
    <x v="1"/>
    <x v="0"/>
    <x v="5"/>
    <s v="Customer 18"/>
    <n v="7"/>
    <n v="1200"/>
    <n v="0.1"/>
    <n v="7560"/>
    <s v="Card"/>
    <x v="1"/>
  </r>
  <r>
    <s v="Headphones"/>
    <x v="1"/>
    <x v="3"/>
    <x v="3"/>
    <s v="Customer 30"/>
    <n v="3"/>
    <n v="2500"/>
    <n v="0"/>
    <n v="7500"/>
    <s v="UPI"/>
    <x v="2"/>
  </r>
  <r>
    <s v="Keyboard"/>
    <x v="1"/>
    <x v="3"/>
    <x v="0"/>
    <s v="Customer 15"/>
    <n v="5"/>
    <n v="1200"/>
    <n v="0.15"/>
    <n v="5100"/>
    <s v="Bank Transfer"/>
    <x v="2"/>
  </r>
  <r>
    <s v="Mouse"/>
    <x v="1"/>
    <x v="0"/>
    <x v="2"/>
    <s v="Customer 8"/>
    <n v="7"/>
    <n v="800"/>
    <n v="0.1"/>
    <n v="5040"/>
    <s v="Bank Transfer"/>
    <x v="2"/>
  </r>
  <r>
    <s v="Monitor"/>
    <x v="0"/>
    <x v="3"/>
    <x v="5"/>
    <s v="Customer 22"/>
    <n v="1"/>
    <n v="15000"/>
    <n v="0.05"/>
    <n v="14250"/>
    <s v="Card"/>
    <x v="1"/>
  </r>
  <r>
    <s v="Laptop"/>
    <x v="0"/>
    <x v="2"/>
    <x v="1"/>
    <s v="Customer 28"/>
    <n v="3"/>
    <n v="55000"/>
    <n v="0.15"/>
    <n v="140250"/>
    <s v="Bank Transfer"/>
    <x v="2"/>
  </r>
  <r>
    <s v="Office Chair"/>
    <x v="2"/>
    <x v="3"/>
    <x v="2"/>
    <s v="Customer 5"/>
    <n v="8"/>
    <n v="8500"/>
    <n v="0"/>
    <n v="68000"/>
    <s v="Cash"/>
    <x v="1"/>
  </r>
  <r>
    <s v="Keyboard"/>
    <x v="1"/>
    <x v="3"/>
    <x v="2"/>
    <s v="Customer 3"/>
    <n v="6"/>
    <n v="1200"/>
    <n v="0.15"/>
    <n v="6120"/>
    <s v="UPI"/>
    <x v="0"/>
  </r>
  <r>
    <s v="Monitor"/>
    <x v="0"/>
    <x v="1"/>
    <x v="4"/>
    <s v="Customer 3"/>
    <n v="6"/>
    <n v="15000"/>
    <n v="0.1"/>
    <n v="81000"/>
    <s v="Card"/>
    <x v="2"/>
  </r>
  <r>
    <s v="Headphones"/>
    <x v="1"/>
    <x v="1"/>
    <x v="5"/>
    <s v="Customer 6"/>
    <n v="2"/>
    <n v="2500"/>
    <n v="0.1"/>
    <n v="4500"/>
    <s v="UPI"/>
    <x v="2"/>
  </r>
  <r>
    <s v="Laptop"/>
    <x v="0"/>
    <x v="2"/>
    <x v="3"/>
    <s v="Customer 14"/>
    <n v="6"/>
    <n v="55000"/>
    <n v="0"/>
    <n v="330000"/>
    <s v="Card"/>
    <x v="2"/>
  </r>
  <r>
    <s v="Office Chair"/>
    <x v="2"/>
    <x v="0"/>
    <x v="0"/>
    <s v="Customer 6"/>
    <n v="7"/>
    <n v="8500"/>
    <n v="0.15"/>
    <n v="50575"/>
    <s v="Cash"/>
    <x v="0"/>
  </r>
  <r>
    <s v="Monitor"/>
    <x v="0"/>
    <x v="0"/>
    <x v="0"/>
    <s v="Customer 15"/>
    <n v="4"/>
    <n v="15000"/>
    <n v="0.1"/>
    <n v="54000"/>
    <s v="UPI"/>
    <x v="1"/>
  </r>
  <r>
    <s v="Keyboard"/>
    <x v="1"/>
    <x v="0"/>
    <x v="1"/>
    <s v="Customer 15"/>
    <n v="1"/>
    <n v="1200"/>
    <n v="0.1"/>
    <n v="1080"/>
    <s v="UPI"/>
    <x v="0"/>
  </r>
  <r>
    <s v="Keyboard"/>
    <x v="1"/>
    <x v="2"/>
    <x v="0"/>
    <s v="Customer 13"/>
    <n v="7"/>
    <n v="1200"/>
    <n v="0.05"/>
    <n v="7980"/>
    <s v="Bank Transfer"/>
    <x v="2"/>
  </r>
  <r>
    <s v="Headphones"/>
    <x v="1"/>
    <x v="2"/>
    <x v="2"/>
    <s v="Customer 10"/>
    <n v="7"/>
    <n v="2500"/>
    <n v="0.15"/>
    <n v="14875"/>
    <s v="Cash"/>
    <x v="1"/>
  </r>
  <r>
    <s v="Keyboard"/>
    <x v="1"/>
    <x v="1"/>
    <x v="4"/>
    <s v="Customer 24"/>
    <n v="1"/>
    <n v="1200"/>
    <n v="0.15"/>
    <n v="1020"/>
    <s v="Bank Transfer"/>
    <x v="2"/>
  </r>
  <r>
    <s v="Headphones"/>
    <x v="1"/>
    <x v="0"/>
    <x v="4"/>
    <s v="Customer 9"/>
    <n v="6"/>
    <n v="2500"/>
    <n v="0"/>
    <n v="15000"/>
    <s v="Card"/>
    <x v="2"/>
  </r>
  <r>
    <s v="Laptop"/>
    <x v="0"/>
    <x v="2"/>
    <x v="2"/>
    <s v="Customer 5"/>
    <n v="5"/>
    <n v="55000"/>
    <n v="0.1"/>
    <n v="247500"/>
    <s v="Cash"/>
    <x v="2"/>
  </r>
  <r>
    <s v="Mouse"/>
    <x v="1"/>
    <x v="0"/>
    <x v="4"/>
    <s v="Customer 29"/>
    <n v="7"/>
    <n v="800"/>
    <n v="0"/>
    <n v="5600"/>
    <s v="UPI"/>
    <x v="0"/>
  </r>
  <r>
    <s v="Office Chair"/>
    <x v="2"/>
    <x v="3"/>
    <x v="3"/>
    <s v="Customer 24"/>
    <n v="5"/>
    <n v="8500"/>
    <n v="0"/>
    <n v="42500"/>
    <s v="UPI"/>
    <x v="2"/>
  </r>
  <r>
    <s v="Printer"/>
    <x v="3"/>
    <x v="3"/>
    <x v="4"/>
    <s v="Customer 12"/>
    <n v="2"/>
    <n v="12000"/>
    <n v="0"/>
    <n v="24000"/>
    <s v="Cash"/>
    <x v="1"/>
  </r>
  <r>
    <s v="Laptop"/>
    <x v="0"/>
    <x v="3"/>
    <x v="3"/>
    <s v="Customer 22"/>
    <n v="5"/>
    <n v="55000"/>
    <n v="0.15"/>
    <n v="233750"/>
    <s v="UPI"/>
    <x v="0"/>
  </r>
  <r>
    <s v="Monitor"/>
    <x v="0"/>
    <x v="0"/>
    <x v="5"/>
    <s v="Customer 1"/>
    <n v="6"/>
    <n v="15000"/>
    <n v="0"/>
    <n v="90000"/>
    <s v="UPI"/>
    <x v="0"/>
  </r>
  <r>
    <s v="Headphones"/>
    <x v="1"/>
    <x v="2"/>
    <x v="2"/>
    <s v="Customer 14"/>
    <n v="2"/>
    <n v="2500"/>
    <n v="0.1"/>
    <n v="4500"/>
    <s v="Cash"/>
    <x v="2"/>
  </r>
  <r>
    <s v="Laptop"/>
    <x v="0"/>
    <x v="1"/>
    <x v="1"/>
    <s v="Customer 8"/>
    <n v="1"/>
    <n v="55000"/>
    <n v="0.05"/>
    <n v="52250"/>
    <s v="Card"/>
    <x v="1"/>
  </r>
  <r>
    <s v="Printer"/>
    <x v="3"/>
    <x v="0"/>
    <x v="5"/>
    <s v="Customer 21"/>
    <n v="6"/>
    <n v="12000"/>
    <n v="0.15"/>
    <n v="61200"/>
    <s v="Cash"/>
    <x v="1"/>
  </r>
  <r>
    <s v="Desk"/>
    <x v="2"/>
    <x v="2"/>
    <x v="0"/>
    <s v="Customer 15"/>
    <n v="7"/>
    <n v="11000"/>
    <n v="0.05"/>
    <n v="73150"/>
    <s v="Bank Transfer"/>
    <x v="2"/>
  </r>
  <r>
    <s v="Mouse"/>
    <x v="1"/>
    <x v="2"/>
    <x v="1"/>
    <s v="Customer 13"/>
    <n v="2"/>
    <n v="800"/>
    <n v="0.05"/>
    <n v="1520"/>
    <s v="UPI"/>
    <x v="2"/>
  </r>
  <r>
    <s v="Smartphone"/>
    <x v="0"/>
    <x v="0"/>
    <x v="2"/>
    <s v="Customer 21"/>
    <n v="8"/>
    <n v="28000"/>
    <n v="0"/>
    <n v="224000"/>
    <s v="Cash"/>
    <x v="2"/>
  </r>
  <r>
    <s v="Mouse"/>
    <x v="1"/>
    <x v="0"/>
    <x v="1"/>
    <s v="Customer 27"/>
    <n v="4"/>
    <n v="800"/>
    <n v="0"/>
    <n v="3200"/>
    <s v="Card"/>
    <x v="0"/>
  </r>
  <r>
    <s v="Headphones"/>
    <x v="1"/>
    <x v="1"/>
    <x v="3"/>
    <s v="Customer 28"/>
    <n v="4"/>
    <n v="2500"/>
    <n v="0.05"/>
    <n v="9500"/>
    <s v="Card"/>
    <x v="2"/>
  </r>
  <r>
    <s v="Office Chair"/>
    <x v="2"/>
    <x v="1"/>
    <x v="0"/>
    <s v="Customer 1"/>
    <n v="5"/>
    <n v="8500"/>
    <n v="0"/>
    <n v="42500"/>
    <s v="UPI"/>
    <x v="2"/>
  </r>
  <r>
    <s v="Desk"/>
    <x v="2"/>
    <x v="2"/>
    <x v="1"/>
    <s v="Customer 5"/>
    <n v="6"/>
    <n v="11000"/>
    <n v="0"/>
    <n v="66000"/>
    <s v="Bank Transfer"/>
    <x v="0"/>
  </r>
  <r>
    <s v="Smartphone"/>
    <x v="0"/>
    <x v="2"/>
    <x v="4"/>
    <s v="Customer 19"/>
    <n v="2"/>
    <n v="28000"/>
    <n v="0.1"/>
    <n v="50400"/>
    <s v="Cash"/>
    <x v="1"/>
  </r>
  <r>
    <s v="Office Chair"/>
    <x v="2"/>
    <x v="2"/>
    <x v="5"/>
    <s v="Customer 21"/>
    <n v="4"/>
    <n v="8500"/>
    <n v="0.15"/>
    <n v="28900"/>
    <s v="Cash"/>
    <x v="2"/>
  </r>
  <r>
    <s v="Printer"/>
    <x v="3"/>
    <x v="1"/>
    <x v="5"/>
    <s v="Customer 23"/>
    <n v="7"/>
    <n v="12000"/>
    <n v="0.1"/>
    <n v="75600"/>
    <s v="Bank Transfer"/>
    <x v="2"/>
  </r>
  <r>
    <s v="Smartphone"/>
    <x v="0"/>
    <x v="1"/>
    <x v="0"/>
    <s v="Customer 9"/>
    <n v="6"/>
    <n v="28000"/>
    <n v="0.15"/>
    <n v="142800"/>
    <s v="UPI"/>
    <x v="1"/>
  </r>
  <r>
    <s v="Desk"/>
    <x v="2"/>
    <x v="3"/>
    <x v="1"/>
    <s v="Customer 26"/>
    <n v="5"/>
    <n v="11000"/>
    <n v="0.1"/>
    <n v="49500"/>
    <s v="Cash"/>
    <x v="0"/>
  </r>
  <r>
    <s v="Headphones"/>
    <x v="1"/>
    <x v="3"/>
    <x v="3"/>
    <s v="Customer 27"/>
    <n v="7"/>
    <n v="2500"/>
    <n v="0.1"/>
    <n v="15750"/>
    <s v="Bank Transfer"/>
    <x v="1"/>
  </r>
  <r>
    <s v="Monitor"/>
    <x v="0"/>
    <x v="2"/>
    <x v="2"/>
    <s v="Customer 9"/>
    <n v="2"/>
    <n v="15000"/>
    <n v="0.05"/>
    <n v="28500"/>
    <s v="UPI"/>
    <x v="2"/>
  </r>
  <r>
    <s v="Printer"/>
    <x v="3"/>
    <x v="1"/>
    <x v="5"/>
    <s v="Customer 4"/>
    <n v="2"/>
    <n v="12000"/>
    <n v="0"/>
    <n v="24000"/>
    <s v="UPI"/>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01"/>
    <x v="0"/>
    <s v="P002"/>
    <x v="0"/>
    <s v="Electronics"/>
    <s v="South"/>
    <s v="Diya"/>
    <s v="Customer 24"/>
    <n v="1"/>
    <n v="28000"/>
    <n v="0.05"/>
    <n v="26600"/>
    <s v="Cash"/>
    <s v="Cancelled"/>
    <s v="Smartphone"/>
    <s v="Low Sale"/>
    <s v="Desk"/>
    <s v="Average"/>
  </r>
  <r>
    <n v="1002"/>
    <x v="1"/>
    <s v="P002"/>
    <x v="0"/>
    <s v="Electronics"/>
    <s v="North"/>
    <s v="Diya"/>
    <s v="Customer 8"/>
    <n v="7"/>
    <n v="28000"/>
    <n v="0"/>
    <n v="196000"/>
    <s v="Cash"/>
    <s v="Cancelled"/>
    <m/>
    <s v="High Sale"/>
    <m/>
    <s v="Excellent"/>
  </r>
  <r>
    <n v="1003"/>
    <x v="2"/>
    <s v="P004"/>
    <x v="1"/>
    <s v="Accessories"/>
    <s v="East"/>
    <s v="Aarav"/>
    <s v="Customer 25"/>
    <n v="7"/>
    <n v="2500"/>
    <n v="0"/>
    <n v="17500"/>
    <s v="Card"/>
    <s v="Pending"/>
    <m/>
    <s v="Low Sale"/>
    <m/>
    <s v="Average"/>
  </r>
  <r>
    <n v="1004"/>
    <x v="3"/>
    <s v="P006"/>
    <x v="2"/>
    <s v="Accessories"/>
    <s v="East"/>
    <s v="Aarav"/>
    <s v="Customer 3"/>
    <n v="5"/>
    <n v="800"/>
    <n v="0"/>
    <n v="4000"/>
    <s v="Bank Transfer"/>
    <s v="Completed"/>
    <m/>
    <s v="Low Sale"/>
    <m/>
    <s v="Average"/>
  </r>
  <r>
    <n v="1005"/>
    <x v="4"/>
    <s v="P006"/>
    <x v="2"/>
    <s v="Accessories"/>
    <s v="North"/>
    <s v="Anaya"/>
    <s v="Customer 15"/>
    <n v="6"/>
    <n v="800"/>
    <n v="0.15"/>
    <n v="4080"/>
    <s v="Cash"/>
    <s v="Pending"/>
    <m/>
    <s v="Low Sale"/>
    <m/>
    <s v="Average"/>
  </r>
  <r>
    <n v="1006"/>
    <x v="5"/>
    <s v="P002"/>
    <x v="0"/>
    <s v="Electronics"/>
    <s v="South"/>
    <s v="Anaya"/>
    <s v="Customer 3"/>
    <n v="5"/>
    <n v="28000"/>
    <n v="0.15"/>
    <n v="119000"/>
    <s v="Cash"/>
    <s v="Completed"/>
    <m/>
    <s v="High Sale"/>
    <m/>
    <s v="Excellent"/>
  </r>
  <r>
    <n v="1007"/>
    <x v="6"/>
    <s v="P005"/>
    <x v="3"/>
    <s v="Accessories"/>
    <s v="West"/>
    <s v="Kabir"/>
    <s v="Customer 15"/>
    <n v="2"/>
    <n v="1200"/>
    <n v="0"/>
    <n v="2400"/>
    <s v="UPI"/>
    <s v="Completed"/>
    <m/>
    <s v="Low Sale"/>
    <m/>
    <s v="Average"/>
  </r>
  <r>
    <n v="1008"/>
    <x v="7"/>
    <s v="P006"/>
    <x v="2"/>
    <s v="Accessories"/>
    <s v="East"/>
    <s v="Anaya"/>
    <s v="Customer 30"/>
    <n v="6"/>
    <n v="800"/>
    <n v="0"/>
    <n v="4800"/>
    <s v="Cash"/>
    <s v="Cancelled"/>
    <m/>
    <s v="Low Sale"/>
    <m/>
    <s v="Average"/>
  </r>
  <r>
    <n v="1009"/>
    <x v="8"/>
    <s v="P003"/>
    <x v="4"/>
    <s v="Electronics"/>
    <s v="West"/>
    <s v="Kabir"/>
    <s v="Customer 30"/>
    <n v="4"/>
    <n v="22000"/>
    <n v="0"/>
    <n v="88000"/>
    <s v="Card"/>
    <s v="Completed"/>
    <m/>
    <s v="Low Sale"/>
    <m/>
    <s v="Good"/>
  </r>
  <r>
    <n v="1010"/>
    <x v="9"/>
    <s v="P001"/>
    <x v="5"/>
    <s v="Electronics"/>
    <s v="West"/>
    <s v="Kabir"/>
    <s v="Customer 3"/>
    <n v="4"/>
    <n v="55000"/>
    <n v="0"/>
    <n v="220000"/>
    <s v="Card"/>
    <s v="Cancelled"/>
    <m/>
    <s v="High Sale"/>
    <m/>
    <s v="Excellent"/>
  </r>
  <r>
    <n v="1011"/>
    <x v="10"/>
    <s v="P006"/>
    <x v="2"/>
    <s v="Accessories"/>
    <s v="West"/>
    <s v="Diya"/>
    <s v="Customer 9"/>
    <n v="4"/>
    <n v="800"/>
    <n v="0.1"/>
    <n v="2880"/>
    <s v="Card"/>
    <s v="Completed"/>
    <m/>
    <s v="Low Sale"/>
    <m/>
    <s v="Average"/>
  </r>
  <r>
    <n v="1012"/>
    <x v="11"/>
    <s v="P009"/>
    <x v="6"/>
    <s v="Furniture"/>
    <s v="West"/>
    <s v="Kabir"/>
    <s v="Customer 8"/>
    <n v="5"/>
    <n v="8500"/>
    <n v="0.15"/>
    <n v="36125"/>
    <s v="Card"/>
    <s v="Cancelled"/>
    <m/>
    <s v="Low Sale"/>
    <m/>
    <s v="Average"/>
  </r>
  <r>
    <n v="1013"/>
    <x v="12"/>
    <s v="P008"/>
    <x v="7"/>
    <s v="Office"/>
    <s v="South"/>
    <s v="Anaya"/>
    <s v="Customer 6"/>
    <n v="2"/>
    <n v="12000"/>
    <n v="0"/>
    <n v="24000"/>
    <s v="Bank Transfer"/>
    <s v="Cancelled"/>
    <m/>
    <s v="Low Sale"/>
    <m/>
    <s v="Average"/>
  </r>
  <r>
    <n v="1014"/>
    <x v="13"/>
    <s v="P002"/>
    <x v="0"/>
    <s v="Electronics"/>
    <s v="West"/>
    <s v="Rohan"/>
    <s v="Customer 9"/>
    <n v="7"/>
    <n v="28000"/>
    <n v="0.1"/>
    <n v="176400"/>
    <s v="Cash"/>
    <s v="Completed"/>
    <m/>
    <s v="High Sale"/>
    <m/>
    <s v="Excellent"/>
  </r>
  <r>
    <n v="1015"/>
    <x v="14"/>
    <s v="P009"/>
    <x v="6"/>
    <s v="Furniture"/>
    <s v="East"/>
    <s v="Meera"/>
    <s v="Customer 6"/>
    <n v="5"/>
    <n v="8500"/>
    <n v="0.05"/>
    <n v="40375"/>
    <s v="Bank Transfer"/>
    <s v="Completed"/>
    <m/>
    <s v="Low Sale"/>
    <m/>
    <s v="Average"/>
  </r>
  <r>
    <n v="1016"/>
    <x v="15"/>
    <s v="P005"/>
    <x v="3"/>
    <s v="Accessories"/>
    <s v="East"/>
    <s v="Anaya"/>
    <s v="Customer 17"/>
    <n v="3"/>
    <n v="1200"/>
    <n v="0.15"/>
    <n v="3060"/>
    <s v="Card"/>
    <s v="Completed"/>
    <m/>
    <s v="Low Sale"/>
    <m/>
    <s v="Average"/>
  </r>
  <r>
    <n v="1017"/>
    <x v="16"/>
    <s v="P006"/>
    <x v="2"/>
    <s v="Accessories"/>
    <s v="North"/>
    <s v="Rohan"/>
    <s v="Customer 11"/>
    <n v="3"/>
    <n v="800"/>
    <n v="0.15"/>
    <n v="2040"/>
    <s v="Bank Transfer"/>
    <s v="Completed"/>
    <m/>
    <s v="Low Sale"/>
    <m/>
    <s v="Average"/>
  </r>
  <r>
    <n v="1018"/>
    <x v="17"/>
    <s v="P002"/>
    <x v="0"/>
    <s v="Electronics"/>
    <s v="North"/>
    <s v="Diya"/>
    <s v="Customer 29"/>
    <n v="6"/>
    <n v="28000"/>
    <n v="0.05"/>
    <n v="159600"/>
    <s v="Cash"/>
    <s v="Completed"/>
    <m/>
    <s v="High Sale"/>
    <m/>
    <s v="Excellent"/>
  </r>
  <r>
    <n v="1019"/>
    <x v="18"/>
    <s v="P008"/>
    <x v="7"/>
    <s v="Office"/>
    <s v="South"/>
    <m/>
    <s v="Customer 16"/>
    <n v="2"/>
    <n v="12000"/>
    <n v="0.15"/>
    <n v="20400"/>
    <s v="Card"/>
    <s v="Completed"/>
    <m/>
    <s v="Low Sale"/>
    <m/>
    <s v="Average"/>
  </r>
  <r>
    <n v="1020"/>
    <x v="19"/>
    <s v="P009"/>
    <x v="6"/>
    <s v="Furniture"/>
    <s v="South"/>
    <s v="Anaya"/>
    <s v="Customer 10"/>
    <n v="7"/>
    <n v="8500"/>
    <n v="0"/>
    <n v="59500"/>
    <s v="Bank Transfer"/>
    <s v="Completed"/>
    <m/>
    <s v="Low Sale"/>
    <m/>
    <s v="Good"/>
  </r>
  <r>
    <n v="1021"/>
    <x v="20"/>
    <s v="P008"/>
    <x v="7"/>
    <s v="Office"/>
    <s v="South"/>
    <s v="Aarav"/>
    <s v="Customer 11"/>
    <n v="8"/>
    <n v="12000"/>
    <n v="0"/>
    <n v="96000"/>
    <s v="Cash"/>
    <s v="Cancelled"/>
    <m/>
    <s v="Low Sale"/>
    <m/>
    <s v="Good"/>
  </r>
  <r>
    <n v="1022"/>
    <x v="21"/>
    <s v="P009"/>
    <x v="6"/>
    <s v="Furniture"/>
    <s v="North"/>
    <s v="Aarav"/>
    <s v="Customer 23"/>
    <n v="4"/>
    <n v="8500"/>
    <n v="0.15"/>
    <n v="28900"/>
    <s v="Cash"/>
    <s v="Completed"/>
    <m/>
    <s v="Low Sale"/>
    <m/>
    <s v="Average"/>
  </r>
  <r>
    <n v="1023"/>
    <x v="22"/>
    <s v="P002"/>
    <x v="0"/>
    <s v="Electronics"/>
    <s v="South"/>
    <s v="Kabir"/>
    <s v="Customer 22"/>
    <n v="1"/>
    <n v="28000"/>
    <n v="0.05"/>
    <n v="26600"/>
    <s v="Bank Transfer"/>
    <s v="Completed"/>
    <m/>
    <s v="Low Sale"/>
    <m/>
    <s v="Average"/>
  </r>
  <r>
    <n v="1024"/>
    <x v="23"/>
    <s v="P009"/>
    <x v="6"/>
    <s v="Furniture"/>
    <s v="West"/>
    <s v="Diya"/>
    <s v="Customer 26"/>
    <n v="3"/>
    <n v="8500"/>
    <n v="0.15"/>
    <n v="21675"/>
    <s v="Bank Transfer"/>
    <s v="Pending"/>
    <m/>
    <s v="Low Sale"/>
    <m/>
    <s v="Average"/>
  </r>
  <r>
    <n v="1025"/>
    <x v="24"/>
    <s v="P004"/>
    <x v="1"/>
    <s v="Accessories"/>
    <s v="West"/>
    <s v="Kabir"/>
    <s v="Customer 14"/>
    <n v="2"/>
    <n v="2500"/>
    <n v="0"/>
    <n v="5000"/>
    <s v="Bank Transfer"/>
    <s v="Pending"/>
    <m/>
    <s v="Low Sale"/>
    <m/>
    <s v="Average"/>
  </r>
  <r>
    <n v="1026"/>
    <x v="25"/>
    <s v="P001"/>
    <x v="5"/>
    <s v="Electronics"/>
    <s v="East"/>
    <s v="Aarav"/>
    <s v="Customer 8"/>
    <n v="2"/>
    <n v="55000"/>
    <n v="0"/>
    <n v="110000"/>
    <s v="Card"/>
    <s v="Completed"/>
    <m/>
    <s v="High Sale"/>
    <m/>
    <s v="Excellent"/>
  </r>
  <r>
    <n v="1027"/>
    <x v="26"/>
    <s v="P009"/>
    <x v="6"/>
    <s v="Furniture"/>
    <s v="South"/>
    <s v="Kabir"/>
    <s v="Customer 15"/>
    <n v="8"/>
    <n v="8500"/>
    <n v="0"/>
    <n v="68000"/>
    <s v="Card"/>
    <s v="Completed"/>
    <m/>
    <s v="Low Sale"/>
    <m/>
    <s v="Good"/>
  </r>
  <r>
    <n v="1028"/>
    <x v="27"/>
    <s v="P008"/>
    <x v="7"/>
    <s v="Office"/>
    <s v="North"/>
    <s v="Aarav"/>
    <s v="Customer 30"/>
    <n v="2"/>
    <n v="12000"/>
    <n v="0"/>
    <n v="24000"/>
    <s v="Card"/>
    <s v="Completed"/>
    <m/>
    <s v="Low Sale"/>
    <m/>
    <s v="Average"/>
  </r>
  <r>
    <n v="1029"/>
    <x v="28"/>
    <s v="P007"/>
    <x v="8"/>
    <s v="Electronics"/>
    <s v="West"/>
    <s v="Aarav"/>
    <s v="Customer 6"/>
    <n v="8"/>
    <n v="15000"/>
    <n v="0.1"/>
    <n v="108000"/>
    <s v="Bank Transfer"/>
    <s v="Completed"/>
    <m/>
    <s v="High Sale"/>
    <m/>
    <s v="Excellent"/>
  </r>
  <r>
    <n v="1030"/>
    <x v="29"/>
    <s v="P007"/>
    <x v="8"/>
    <s v="Electronics"/>
    <s v="West"/>
    <s v="Anaya"/>
    <s v="Customer 24"/>
    <n v="5"/>
    <n v="15000"/>
    <n v="0.1"/>
    <n v="67500"/>
    <s v="Bank Transfer"/>
    <s v="Completed"/>
    <m/>
    <s v="Low Sale"/>
    <m/>
    <s v="Good"/>
  </r>
  <r>
    <n v="1031"/>
    <x v="30"/>
    <s v="P004"/>
    <x v="1"/>
    <s v="Accessories"/>
    <s v="North"/>
    <s v="Anaya"/>
    <s v="Customer 11"/>
    <n v="5"/>
    <n v="2500"/>
    <n v="0"/>
    <n v="12500"/>
    <s v="Cash"/>
    <s v="Completed"/>
    <m/>
    <s v="Low Sale"/>
    <m/>
    <s v="Average"/>
  </r>
  <r>
    <n v="1032"/>
    <x v="16"/>
    <s v="P010"/>
    <x v="9"/>
    <s v="Furniture"/>
    <s v="South"/>
    <s v="Aarav"/>
    <s v="Customer 17"/>
    <n v="8"/>
    <n v="11000"/>
    <n v="0.15"/>
    <n v="74800"/>
    <s v="Cash"/>
    <s v="Completed"/>
    <m/>
    <s v="Low Sale"/>
    <m/>
    <s v="Good"/>
  </r>
  <r>
    <n v="1033"/>
    <x v="25"/>
    <s v="P002"/>
    <x v="0"/>
    <s v="Electronics"/>
    <s v="North"/>
    <s v="Rohan"/>
    <s v="Customer 8"/>
    <n v="2"/>
    <n v="28000"/>
    <n v="0"/>
    <n v="56000"/>
    <s v="Cash"/>
    <s v="Cancelled"/>
    <m/>
    <s v="Low Sale"/>
    <m/>
    <s v="Good"/>
  </r>
  <r>
    <n v="1034"/>
    <x v="31"/>
    <s v="P002"/>
    <x v="0"/>
    <s v="Electronics"/>
    <s v="East"/>
    <s v="Kabir"/>
    <s v="Customer 7"/>
    <n v="7"/>
    <n v="28000"/>
    <n v="0.15"/>
    <n v="166600"/>
    <s v="UPI"/>
    <s v="Completed"/>
    <m/>
    <s v="High Sale"/>
    <m/>
    <s v="Excellent"/>
  </r>
  <r>
    <n v="1035"/>
    <x v="7"/>
    <s v="P005"/>
    <x v="3"/>
    <s v="Accessories"/>
    <s v="East"/>
    <s v="Meera"/>
    <s v="Customer 11"/>
    <n v="7"/>
    <n v="1200"/>
    <n v="0"/>
    <n v="8400"/>
    <s v="Cash"/>
    <s v="Completed"/>
    <m/>
    <s v="Low Sale"/>
    <m/>
    <s v="Average"/>
  </r>
  <r>
    <n v="1036"/>
    <x v="32"/>
    <s v="P008"/>
    <x v="7"/>
    <s v="Office"/>
    <s v="South"/>
    <s v="Rohan"/>
    <s v="Customer 9"/>
    <n v="2"/>
    <n v="12000"/>
    <n v="0"/>
    <n v="24000"/>
    <s v="Card"/>
    <s v="Completed"/>
    <m/>
    <s v="Low Sale"/>
    <m/>
    <s v="Average"/>
  </r>
  <r>
    <n v="1037"/>
    <x v="33"/>
    <s v="P002"/>
    <x v="0"/>
    <s v="Electronics"/>
    <s v="South"/>
    <s v="Meera"/>
    <s v="Customer 27"/>
    <n v="4"/>
    <n v="28000"/>
    <n v="0.05"/>
    <n v="106400"/>
    <m/>
    <s v="Cancelled"/>
    <m/>
    <s v="High Sale"/>
    <m/>
    <s v="Excellent"/>
  </r>
  <r>
    <n v="1038"/>
    <x v="34"/>
    <s v="P009"/>
    <x v="6"/>
    <s v="Furniture"/>
    <s v="North"/>
    <s v="Diya"/>
    <s v="Customer 9"/>
    <n v="1"/>
    <n v="8500"/>
    <n v="0.15"/>
    <n v="7225"/>
    <s v="Cash"/>
    <s v="Completed"/>
    <m/>
    <s v="Low Sale"/>
    <m/>
    <s v="Average"/>
  </r>
  <r>
    <n v="1039"/>
    <x v="35"/>
    <s v="P009"/>
    <x v="6"/>
    <s v="Furniture"/>
    <s v="South"/>
    <s v="Anaya"/>
    <s v="Customer 11"/>
    <n v="3"/>
    <n v="8500"/>
    <n v="0.05"/>
    <n v="24225"/>
    <s v="Card"/>
    <s v="Completed"/>
    <m/>
    <s v="Low Sale"/>
    <m/>
    <s v="Average"/>
  </r>
  <r>
    <n v="1040"/>
    <x v="36"/>
    <s v="P009"/>
    <x v="6"/>
    <s v="Furniture"/>
    <s v="North"/>
    <s v="Anaya"/>
    <s v="Customer 14"/>
    <n v="8"/>
    <n v="8500"/>
    <n v="0.05"/>
    <n v="64600"/>
    <s v="UPI"/>
    <s v="Completed"/>
    <m/>
    <s v="Low Sale"/>
    <m/>
    <s v="Good"/>
  </r>
  <r>
    <n v="1041"/>
    <x v="37"/>
    <s v="P001"/>
    <x v="5"/>
    <s v="Electronics"/>
    <s v="East"/>
    <s v="Diya"/>
    <s v="Customer 24"/>
    <n v="6"/>
    <n v="55000"/>
    <n v="0"/>
    <n v="330000"/>
    <s v="Bank Transfer"/>
    <s v="Cancelled"/>
    <m/>
    <s v="High Sale"/>
    <m/>
    <s v="Excellent"/>
  </r>
  <r>
    <n v="1042"/>
    <x v="38"/>
    <s v="P007"/>
    <x v="8"/>
    <s v="Electronics"/>
    <s v="South"/>
    <s v="Rohan"/>
    <s v="Customer 2"/>
    <n v="1"/>
    <n v="15000"/>
    <n v="0"/>
    <n v="15000"/>
    <s v="UPI"/>
    <s v="Cancelled"/>
    <m/>
    <s v="Low Sale"/>
    <m/>
    <s v="Average"/>
  </r>
  <r>
    <n v="1043"/>
    <x v="39"/>
    <s v="P009"/>
    <x v="6"/>
    <s v="Furniture"/>
    <s v="North"/>
    <s v="Kabir"/>
    <s v="Customer 12"/>
    <n v="3"/>
    <n v="8500"/>
    <n v="0.1"/>
    <n v="22950"/>
    <s v="Cash"/>
    <s v="Completed"/>
    <m/>
    <s v="Low Sale"/>
    <m/>
    <s v="Average"/>
  </r>
  <r>
    <n v="1044"/>
    <x v="40"/>
    <s v="P004"/>
    <x v="1"/>
    <s v="Accessories"/>
    <s v="West"/>
    <s v="Rohan"/>
    <s v="Customer 24"/>
    <n v="4"/>
    <n v="2500"/>
    <n v="0"/>
    <n v="10000"/>
    <s v="Card"/>
    <s v="Completed"/>
    <m/>
    <s v="Low Sale"/>
    <m/>
    <s v="Average"/>
  </r>
  <r>
    <n v="1045"/>
    <x v="41"/>
    <s v="P003"/>
    <x v="4"/>
    <s v="Electronics"/>
    <s v="South"/>
    <s v="Anaya"/>
    <s v="Customer 30"/>
    <n v="3"/>
    <n v="22000"/>
    <n v="0.1"/>
    <n v="59400"/>
    <s v="UPI"/>
    <s v="Pending"/>
    <m/>
    <s v="Low Sale"/>
    <m/>
    <s v="Good"/>
  </r>
  <r>
    <n v="1046"/>
    <x v="42"/>
    <s v="P004"/>
    <x v="1"/>
    <s v="Accessories"/>
    <s v="North"/>
    <s v="Meera"/>
    <s v="Customer 28"/>
    <n v="5"/>
    <n v="2500"/>
    <n v="0"/>
    <n v="12500"/>
    <s v="Cash"/>
    <s v="Pending"/>
    <m/>
    <s v="Low Sale"/>
    <m/>
    <s v="Average"/>
  </r>
  <r>
    <n v="1047"/>
    <x v="43"/>
    <s v="P004"/>
    <x v="1"/>
    <s v="Accessories"/>
    <s v="East"/>
    <s v="Diya"/>
    <s v="Customer 8"/>
    <n v="4"/>
    <n v="2500"/>
    <n v="0.1"/>
    <n v="9000"/>
    <s v="Cash"/>
    <s v="Completed"/>
    <m/>
    <s v="Low Sale"/>
    <m/>
    <s v="Average"/>
  </r>
  <r>
    <n v="1048"/>
    <x v="44"/>
    <s v="P007"/>
    <x v="8"/>
    <s v="Electronics"/>
    <s v="East"/>
    <s v="Kabir"/>
    <s v="Customer 21"/>
    <n v="6"/>
    <n v="15000"/>
    <n v="0.05"/>
    <n v="85500"/>
    <s v="Bank Transfer"/>
    <s v="Cancelled"/>
    <m/>
    <s v="Low Sale"/>
    <m/>
    <s v="Good"/>
  </r>
  <r>
    <n v="1049"/>
    <x v="45"/>
    <s v="P006"/>
    <x v="2"/>
    <s v="Accessories"/>
    <s v="South"/>
    <s v="Rohan"/>
    <s v="Customer 9"/>
    <n v="1"/>
    <n v="800"/>
    <n v="0"/>
    <n v="800"/>
    <s v="Cash"/>
    <s v="Completed"/>
    <m/>
    <s v="Low Sale"/>
    <m/>
    <s v="Average"/>
  </r>
  <r>
    <n v="1050"/>
    <x v="46"/>
    <s v="P010"/>
    <x v="9"/>
    <s v="Furniture"/>
    <s v="West"/>
    <s v="Rohan"/>
    <s v="Customer 17"/>
    <n v="7"/>
    <n v="11000"/>
    <n v="0.05"/>
    <n v="73150"/>
    <s v="Cash"/>
    <s v="Pending"/>
    <m/>
    <s v="Low Sale"/>
    <m/>
    <s v="Good"/>
  </r>
  <r>
    <n v="1051"/>
    <x v="47"/>
    <s v="P010"/>
    <x v="9"/>
    <s v="Furniture"/>
    <s v="West"/>
    <s v="Aarav"/>
    <s v="Customer 17"/>
    <n v="4"/>
    <n v="11000"/>
    <n v="0.05"/>
    <n v="41800"/>
    <s v="Card"/>
    <s v="Completed"/>
    <m/>
    <s v="Low Sale"/>
    <m/>
    <s v="Average"/>
  </r>
  <r>
    <n v="1052"/>
    <x v="48"/>
    <s v="P007"/>
    <x v="8"/>
    <s v="Electronics"/>
    <s v="East"/>
    <s v="Anaya"/>
    <s v="Customer 28"/>
    <n v="2"/>
    <n v="15000"/>
    <n v="0.05"/>
    <n v="28500"/>
    <s v="Cash"/>
    <s v="Completed"/>
    <m/>
    <s v="Low Sale"/>
    <m/>
    <s v="Average"/>
  </r>
  <r>
    <n v="1053"/>
    <x v="49"/>
    <s v="P009"/>
    <x v="6"/>
    <s v="Furniture"/>
    <s v="West"/>
    <s v="Anaya"/>
    <s v="Customer 10"/>
    <n v="5"/>
    <n v="8500"/>
    <n v="0.1"/>
    <n v="38250"/>
    <s v="Card"/>
    <s v="Completed"/>
    <m/>
    <s v="Low Sale"/>
    <m/>
    <s v="Average"/>
  </r>
  <r>
    <n v="1054"/>
    <x v="50"/>
    <s v="P007"/>
    <x v="8"/>
    <s v="Electronics"/>
    <s v="East"/>
    <s v="Meera"/>
    <s v="Customer 18"/>
    <n v="7"/>
    <n v="15000"/>
    <n v="0"/>
    <n v="105000"/>
    <s v="Cash"/>
    <s v="Completed"/>
    <m/>
    <s v="High Sale"/>
    <m/>
    <s v="Excellent"/>
  </r>
  <r>
    <n v="1055"/>
    <x v="51"/>
    <s v="P005"/>
    <x v="3"/>
    <s v="Accessories"/>
    <s v="East"/>
    <s v="Meera"/>
    <s v="Customer 15"/>
    <n v="4"/>
    <n v="1200"/>
    <n v="0.1"/>
    <n v="4320"/>
    <s v="Bank Transfer"/>
    <s v="Completed"/>
    <m/>
    <s v="Low Sale"/>
    <m/>
    <s v="Average"/>
  </r>
  <r>
    <n v="1056"/>
    <x v="24"/>
    <s v="P009"/>
    <x v="6"/>
    <s v="Furniture"/>
    <s v="North"/>
    <s v="Kabir"/>
    <s v="Customer 17"/>
    <n v="8"/>
    <n v="8500"/>
    <n v="0"/>
    <n v="68000"/>
    <s v="UPI"/>
    <s v="Completed"/>
    <m/>
    <s v="Low Sale"/>
    <m/>
    <s v="Good"/>
  </r>
  <r>
    <n v="1057"/>
    <x v="52"/>
    <s v="P004"/>
    <x v="1"/>
    <s v="Accessories"/>
    <s v="South"/>
    <s v="Aarav"/>
    <s v="Customer 2"/>
    <n v="5"/>
    <n v="2500"/>
    <n v="0"/>
    <n v="12500"/>
    <s v="Card"/>
    <s v="Pending"/>
    <m/>
    <s v="Low Sale"/>
    <m/>
    <s v="Average"/>
  </r>
  <r>
    <n v="1058"/>
    <x v="53"/>
    <s v="P010"/>
    <x v="9"/>
    <s v="Furniture"/>
    <s v="South "/>
    <s v="Anaya"/>
    <s v="Customer 23"/>
    <n v="2"/>
    <n v="11000"/>
    <n v="0.1"/>
    <n v="19800"/>
    <s v="Bank Transfer"/>
    <s v="Pending"/>
    <m/>
    <s v="Low Sale"/>
    <m/>
    <s v="Average"/>
  </r>
  <r>
    <n v="1059"/>
    <x v="54"/>
    <s v="P007"/>
    <x v="8"/>
    <s v="Electronics"/>
    <s v="North"/>
    <s v="Aarav"/>
    <s v="Customer 25"/>
    <n v="4"/>
    <n v="15000"/>
    <n v="0"/>
    <n v="60000"/>
    <s v="Bank Transfer"/>
    <s v="Completed"/>
    <m/>
    <s v="Low Sale"/>
    <m/>
    <s v="Good"/>
  </r>
  <r>
    <n v="1060"/>
    <x v="55"/>
    <s v="P003"/>
    <x v="4"/>
    <s v="Electronics"/>
    <s v="South"/>
    <s v="Aarav"/>
    <s v="Customer 15"/>
    <n v="8"/>
    <n v="22000"/>
    <n v="0"/>
    <n v="176000"/>
    <s v="Card"/>
    <s v="Pending"/>
    <m/>
    <s v="High Sale"/>
    <m/>
    <s v="Excellent"/>
  </r>
  <r>
    <n v="1061"/>
    <x v="56"/>
    <s v="P009"/>
    <x v="6"/>
    <s v="Furniture"/>
    <s v="West"/>
    <s v="Rohan"/>
    <s v="Customer 15"/>
    <n v="6"/>
    <n v="8500"/>
    <n v="0.1"/>
    <n v="45900"/>
    <s v="Card"/>
    <s v="Pending"/>
    <m/>
    <s v="Low Sale"/>
    <m/>
    <s v="Average"/>
  </r>
  <r>
    <n v="1062"/>
    <x v="37"/>
    <s v="P008"/>
    <x v="7"/>
    <s v="Office"/>
    <s v="East"/>
    <s v="Rohan"/>
    <s v="Customer 16"/>
    <n v="5"/>
    <n v="12000"/>
    <n v="0"/>
    <n v="60000"/>
    <s v="Card"/>
    <s v="Completed"/>
    <m/>
    <s v="Low Sale"/>
    <m/>
    <s v="Good"/>
  </r>
  <r>
    <n v="1063"/>
    <x v="57"/>
    <s v="P008"/>
    <x v="7"/>
    <s v="Office"/>
    <s v="East"/>
    <s v="Kabir"/>
    <s v="Customer 11"/>
    <n v="2"/>
    <n v="12000"/>
    <n v="0.05"/>
    <n v="22800"/>
    <s v="Cash"/>
    <s v="Completed"/>
    <m/>
    <s v="Low Sale"/>
    <m/>
    <s v="Average"/>
  </r>
  <r>
    <n v="1064"/>
    <x v="58"/>
    <s v="P003"/>
    <x v="4"/>
    <s v="Electronics"/>
    <s v="South"/>
    <s v="Anaya"/>
    <s v="Customer 7"/>
    <n v="4"/>
    <n v="22000"/>
    <n v="0.1"/>
    <n v="79200"/>
    <s v="Cash"/>
    <s v="Pending"/>
    <m/>
    <s v="Low Sale"/>
    <m/>
    <s v="Good"/>
  </r>
  <r>
    <n v="1065"/>
    <x v="59"/>
    <s v="P007"/>
    <x v="8"/>
    <s v="Electronics"/>
    <s v="West"/>
    <s v="Aarav"/>
    <s v="Customer 7"/>
    <n v="6"/>
    <n v="15000"/>
    <n v="0.15"/>
    <n v="76500"/>
    <s v="Bank Transfer"/>
    <s v="Pending"/>
    <m/>
    <s v="Low Sale"/>
    <m/>
    <s v="Good"/>
  </r>
  <r>
    <n v="1066"/>
    <x v="60"/>
    <s v="P010"/>
    <x v="9"/>
    <s v="Furniture"/>
    <s v="West"/>
    <s v="Aarav"/>
    <s v="Customer 12"/>
    <n v="1"/>
    <n v="11000"/>
    <n v="0.15"/>
    <n v="9350"/>
    <s v="UPI"/>
    <s v="Pending"/>
    <m/>
    <s v="Low Sale"/>
    <m/>
    <s v="Average"/>
  </r>
  <r>
    <n v="1067"/>
    <x v="21"/>
    <s v="P007"/>
    <x v="8"/>
    <s v="Electronics"/>
    <s v="East"/>
    <s v="Meera"/>
    <s v="Customer 16"/>
    <n v="4"/>
    <n v="15000"/>
    <n v="0.1"/>
    <n v="54000"/>
    <s v="Cash"/>
    <s v="Pending"/>
    <m/>
    <s v="Low Sale"/>
    <m/>
    <s v="Good"/>
  </r>
  <r>
    <n v="1068"/>
    <x v="61"/>
    <s v="P006"/>
    <x v="2"/>
    <s v="Accessories"/>
    <s v="South"/>
    <s v="Rohan"/>
    <s v="Customer 18"/>
    <n v="7"/>
    <n v="800"/>
    <n v="0"/>
    <n v="5600"/>
    <s v="Cash"/>
    <s v="Pending"/>
    <m/>
    <s v="Low Sale"/>
    <m/>
    <s v="Average"/>
  </r>
  <r>
    <n v="1069"/>
    <x v="62"/>
    <s v="P010"/>
    <x v="9"/>
    <s v="Furniture"/>
    <s v="West"/>
    <s v="Diya"/>
    <s v="Customer 28"/>
    <n v="1"/>
    <n v="11000"/>
    <n v="0"/>
    <n v="11000"/>
    <s v="Bank Transfer"/>
    <s v="Completed"/>
    <m/>
    <s v="Low Sale"/>
    <m/>
    <s v="Average"/>
  </r>
  <r>
    <n v="1070"/>
    <x v="49"/>
    <s v="P001"/>
    <x v="5"/>
    <s v="Electronics"/>
    <s v="South"/>
    <s v="Meera"/>
    <s v="Customer 11"/>
    <n v="5"/>
    <n v="55000"/>
    <n v="0.1"/>
    <n v="247500"/>
    <s v="UPI"/>
    <s v="Pending"/>
    <m/>
    <s v="High Sale"/>
    <m/>
    <s v="Excellent"/>
  </r>
  <r>
    <n v="1071"/>
    <x v="63"/>
    <s v="P005"/>
    <x v="3"/>
    <s v="Accessories"/>
    <s v="West"/>
    <s v="Aarav"/>
    <s v="Customer 24"/>
    <n v="7"/>
    <n v="1200"/>
    <n v="0.05"/>
    <n v="7980"/>
    <s v="Cash"/>
    <s v="Completed"/>
    <m/>
    <s v="Low Sale"/>
    <m/>
    <s v="Average"/>
  </r>
  <r>
    <n v="1072"/>
    <x v="1"/>
    <s v="P004"/>
    <x v="1"/>
    <s v="Accessories"/>
    <s v="South"/>
    <s v="Diya"/>
    <s v="Customer 27"/>
    <n v="2"/>
    <n v="2500"/>
    <n v="0"/>
    <n v="5000"/>
    <s v="Cash"/>
    <s v="Cancelled"/>
    <m/>
    <s v="Low Sale"/>
    <m/>
    <s v="Average"/>
  </r>
  <r>
    <n v="1073"/>
    <x v="64"/>
    <s v="P003"/>
    <x v="4"/>
    <s v="Electronics"/>
    <s v="North"/>
    <s v="Rohan"/>
    <s v="Customer 7"/>
    <n v="4"/>
    <n v="22000"/>
    <n v="0"/>
    <n v="88000"/>
    <s v="Bank Transfer"/>
    <s v="Completed"/>
    <m/>
    <s v="Low Sale"/>
    <m/>
    <s v="Good"/>
  </r>
  <r>
    <n v="1074"/>
    <x v="65"/>
    <s v="P006"/>
    <x v="2"/>
    <s v="Accessories"/>
    <s v="North"/>
    <s v="Diya"/>
    <s v="Customer 10"/>
    <n v="3"/>
    <n v="800"/>
    <n v="0.15"/>
    <n v="2040"/>
    <s v="Cash"/>
    <s v="Cancelled"/>
    <m/>
    <s v="Low Sale"/>
    <m/>
    <s v="Average"/>
  </r>
  <r>
    <n v="1075"/>
    <x v="66"/>
    <s v="P001"/>
    <x v="5"/>
    <s v="Electronics"/>
    <s v="West"/>
    <s v="Meera"/>
    <s v="Customer 23"/>
    <n v="5"/>
    <n v="55000"/>
    <n v="0.15"/>
    <n v="233750"/>
    <s v="Card"/>
    <s v="Completed"/>
    <m/>
    <s v="High Sale"/>
    <m/>
    <s v="Excellent"/>
  </r>
  <r>
    <n v="1076"/>
    <x v="67"/>
    <s v="P010"/>
    <x v="9"/>
    <s v="Furniture"/>
    <s v="East"/>
    <s v="Anaya"/>
    <s v="Customer 20"/>
    <n v="4"/>
    <n v="11000"/>
    <n v="0"/>
    <n v="44000"/>
    <s v="Cash"/>
    <s v="Cancelled"/>
    <m/>
    <s v="Low Sale"/>
    <m/>
    <s v="Average"/>
  </r>
  <r>
    <n v="1077"/>
    <x v="11"/>
    <s v="P001"/>
    <x v="5"/>
    <s v="Electronics"/>
    <s v="East"/>
    <s v="Aarav"/>
    <s v="Customer 17"/>
    <n v="6"/>
    <n v="55000"/>
    <n v="0.15"/>
    <n v="280500"/>
    <s v="UPI"/>
    <s v="Completed"/>
    <m/>
    <s v="High Sale"/>
    <m/>
    <s v="Excellent"/>
  </r>
  <r>
    <n v="1078"/>
    <x v="68"/>
    <s v="P007"/>
    <x v="8"/>
    <s v="Electronics"/>
    <s v="East"/>
    <s v="Anaya"/>
    <s v="Customer 29"/>
    <n v="8"/>
    <n v="15000"/>
    <n v="0"/>
    <n v="120000"/>
    <s v="Bank Transfer"/>
    <s v="Completed"/>
    <m/>
    <s v="High Sale"/>
    <m/>
    <s v="Excellent"/>
  </r>
  <r>
    <n v="1079"/>
    <x v="27"/>
    <s v="P007"/>
    <x v="8"/>
    <s v="Electronics"/>
    <s v="East"/>
    <s v="Rohan"/>
    <s v="Customer 26"/>
    <n v="3"/>
    <n v="15000"/>
    <n v="0.15"/>
    <n v="38250"/>
    <s v="Bank Transfer"/>
    <s v="Pending"/>
    <m/>
    <s v="Low Sale"/>
    <m/>
    <s v="Average"/>
  </r>
  <r>
    <n v="1080"/>
    <x v="0"/>
    <s v="P007"/>
    <x v="8"/>
    <s v="Electronics"/>
    <s v="North"/>
    <s v="Kabir"/>
    <s v="Customer 29"/>
    <n v="5"/>
    <n v="15000"/>
    <n v="0.05"/>
    <n v="71250"/>
    <s v="Bank Transfer"/>
    <s v="Completed"/>
    <m/>
    <s v="Low Sale"/>
    <m/>
    <s v="Good"/>
  </r>
  <r>
    <n v="1081"/>
    <x v="69"/>
    <s v="P008"/>
    <x v="7"/>
    <s v="Office"/>
    <s v="West"/>
    <s v="Kabir"/>
    <s v="Customer 6"/>
    <n v="7"/>
    <n v="12000"/>
    <n v="0.05"/>
    <n v="79800"/>
    <s v="Bank Transfer"/>
    <s v="Completed"/>
    <m/>
    <s v="Low Sale"/>
    <m/>
    <s v="Good"/>
  </r>
  <r>
    <n v="1082"/>
    <x v="70"/>
    <s v="P006"/>
    <x v="2"/>
    <s v="Accessories"/>
    <s v="East"/>
    <s v="Rohan"/>
    <s v="Customer 1"/>
    <n v="5"/>
    <n v="800"/>
    <n v="0.05"/>
    <n v="3800"/>
    <s v="Card"/>
    <s v="Completed"/>
    <m/>
    <s v="Low Sale"/>
    <m/>
    <s v="Average"/>
  </r>
  <r>
    <n v="1083"/>
    <x v="71"/>
    <s v="P004"/>
    <x v="1"/>
    <s v="Accessories"/>
    <s v="South"/>
    <s v="Anaya"/>
    <s v="Customer 16"/>
    <n v="7"/>
    <n v="2500"/>
    <n v="0.1"/>
    <n v="15750"/>
    <s v="Bank Transfer"/>
    <s v="Pending"/>
    <m/>
    <s v="Low Sale"/>
    <m/>
    <s v="Average"/>
  </r>
  <r>
    <n v="1084"/>
    <x v="72"/>
    <s v="P001"/>
    <x v="5"/>
    <s v="Electronics"/>
    <s v="West"/>
    <s v="Anaya"/>
    <s v="Customer 8"/>
    <n v="2"/>
    <n v="55000"/>
    <n v="0.05"/>
    <n v="104500"/>
    <s v="UPI"/>
    <s v="Cancelled"/>
    <m/>
    <s v="High Sale"/>
    <m/>
    <s v="Excellent"/>
  </r>
  <r>
    <n v="1085"/>
    <x v="16"/>
    <s v="P006"/>
    <x v="2"/>
    <s v="Accessories"/>
    <s v="East"/>
    <s v="Meera"/>
    <s v="Customer 24"/>
    <n v="8"/>
    <n v="800"/>
    <n v="0.15"/>
    <n v="5440"/>
    <s v="UPI"/>
    <s v="Completed"/>
    <m/>
    <s v="Low Sale"/>
    <m/>
    <s v="Average"/>
  </r>
  <r>
    <n v="1086"/>
    <x v="73"/>
    <s v="P008"/>
    <x v="7"/>
    <s v="Office"/>
    <s v="South"/>
    <s v="Aarav"/>
    <s v="Customer 24"/>
    <n v="5"/>
    <n v="12000"/>
    <n v="0.05"/>
    <n v="57000"/>
    <s v="Card"/>
    <s v="Completed"/>
    <m/>
    <s v="Low Sale"/>
    <m/>
    <s v="Good"/>
  </r>
  <r>
    <n v="1087"/>
    <x v="3"/>
    <s v="P002"/>
    <x v="0"/>
    <s v="Electronics"/>
    <s v="West"/>
    <s v="Kabir"/>
    <s v="Customer 24"/>
    <n v="3"/>
    <n v="28000"/>
    <n v="0"/>
    <n v="84000"/>
    <s v="UPI"/>
    <s v="Completed"/>
    <m/>
    <s v="Low Sale"/>
    <m/>
    <s v="Good"/>
  </r>
  <r>
    <n v="1088"/>
    <x v="74"/>
    <s v="P004"/>
    <x v="1"/>
    <s v="Accessories"/>
    <s v="South"/>
    <s v="Kabir"/>
    <s v="Customer 1"/>
    <n v="5"/>
    <n v="2500"/>
    <n v="0"/>
    <n v="12500"/>
    <s v="Card"/>
    <s v="Completed"/>
    <m/>
    <s v="Low Sale"/>
    <m/>
    <s v="Average"/>
  </r>
  <r>
    <n v="1089"/>
    <x v="75"/>
    <s v="P001"/>
    <x v="5"/>
    <s v="Electronics"/>
    <s v="South"/>
    <s v="Anaya"/>
    <s v=" Customer 12 "/>
    <n v="1"/>
    <n v="55000"/>
    <n v="0.15"/>
    <n v="46750"/>
    <s v="Bank Transfer"/>
    <s v="Completed"/>
    <m/>
    <s v="Low Sale"/>
    <m/>
    <s v="Average"/>
  </r>
  <r>
    <n v="1090"/>
    <x v="76"/>
    <s v="P001"/>
    <x v="5"/>
    <s v="Electronics"/>
    <s v="West"/>
    <s v="Kabir"/>
    <s v="Customer 6"/>
    <n v="5"/>
    <n v="55000"/>
    <n v="0.1"/>
    <n v="247500"/>
    <s v="Cash"/>
    <s v="Completed"/>
    <m/>
    <s v="High Sale"/>
    <m/>
    <s v="Excellent"/>
  </r>
  <r>
    <n v="1091"/>
    <x v="77"/>
    <s v="P008"/>
    <x v="7"/>
    <s v="Office"/>
    <s v="West"/>
    <s v="Aarav"/>
    <s v="Customer 19"/>
    <n v="2"/>
    <n v="12000"/>
    <n v="0"/>
    <n v="24000"/>
    <s v="Cash"/>
    <s v="Completed"/>
    <m/>
    <s v="Low Sale"/>
    <m/>
    <s v="Average"/>
  </r>
  <r>
    <n v="1092"/>
    <x v="78"/>
    <s v="P003"/>
    <x v="4"/>
    <s v="Electronics"/>
    <s v="North"/>
    <s v="Rohan"/>
    <s v="Customer 25"/>
    <n v="5"/>
    <n v="22000"/>
    <n v="0"/>
    <n v="110000"/>
    <s v="Bank Transfer"/>
    <s v="Cancelled"/>
    <m/>
    <s v="High Sale"/>
    <m/>
    <s v="Excellent"/>
  </r>
  <r>
    <n v="1093"/>
    <x v="60"/>
    <s v="P010"/>
    <x v="9"/>
    <s v="Furniture"/>
    <s v="West"/>
    <s v="Meera"/>
    <s v="Customer 10"/>
    <n v="4"/>
    <n v="11000"/>
    <n v="0.15"/>
    <n v="37400"/>
    <s v="Bank Transfer"/>
    <s v="Completed"/>
    <m/>
    <s v="Low Sale"/>
    <m/>
    <s v="Average"/>
  </r>
  <r>
    <n v="1094"/>
    <x v="79"/>
    <s v="P010"/>
    <x v="9"/>
    <s v="Furniture"/>
    <s v="South"/>
    <s v="Anaya"/>
    <s v="Customer 7"/>
    <n v="1"/>
    <n v="11000"/>
    <n v="0.15"/>
    <n v="9350"/>
    <s v="UPI"/>
    <s v="Completed"/>
    <m/>
    <s v="Low Sale"/>
    <m/>
    <s v="Average"/>
  </r>
  <r>
    <n v="1095"/>
    <x v="80"/>
    <s v="P003"/>
    <x v="4"/>
    <s v="Electronics"/>
    <s v="North"/>
    <s v="Diya"/>
    <s v="Customer 1"/>
    <n v="4"/>
    <n v="22000"/>
    <n v="0"/>
    <n v="88000"/>
    <s v="Bank Transfer"/>
    <s v="Pending"/>
    <m/>
    <s v="Low Sale"/>
    <m/>
    <s v="Good"/>
  </r>
  <r>
    <n v="1096"/>
    <x v="81"/>
    <s v="P010"/>
    <x v="9"/>
    <s v="Furniture"/>
    <s v="South"/>
    <s v="Kabir"/>
    <s v="Customer 23"/>
    <n v="8"/>
    <n v="11000"/>
    <n v="0.05"/>
    <n v="83600"/>
    <s v="UPI"/>
    <s v="Pending"/>
    <m/>
    <s v="Low Sale"/>
    <m/>
    <s v="Good"/>
  </r>
  <r>
    <n v="1097"/>
    <x v="82"/>
    <s v="P002"/>
    <x v="0"/>
    <s v="Electronics"/>
    <s v="South"/>
    <s v="Meera"/>
    <s v="Customer 4"/>
    <n v="4"/>
    <n v="28000"/>
    <n v="0.05"/>
    <n v="106400"/>
    <s v="Card"/>
    <s v="Completed"/>
    <m/>
    <s v="High Sale"/>
    <m/>
    <s v="Excellent"/>
  </r>
  <r>
    <n v="1098"/>
    <x v="83"/>
    <s v="P005"/>
    <x v="3"/>
    <s v="Accessories"/>
    <s v="South"/>
    <s v="Kabir"/>
    <s v="Customer 20"/>
    <n v="3"/>
    <n v="1200"/>
    <n v="0"/>
    <n v="3600"/>
    <s v="UPI"/>
    <s v="Pending"/>
    <m/>
    <s v="Low Sale"/>
    <m/>
    <s v="Average"/>
  </r>
  <r>
    <n v="1099"/>
    <x v="84"/>
    <s v="P002"/>
    <x v="0"/>
    <s v="Electronics"/>
    <s v="West"/>
    <s v="Kabir"/>
    <s v="Customer 17"/>
    <n v="8"/>
    <n v="28000"/>
    <n v="0.05"/>
    <n v="212800"/>
    <s v="Bank Transfer"/>
    <s v="Pending"/>
    <m/>
    <s v="High Sale"/>
    <m/>
    <s v="Excellent"/>
  </r>
  <r>
    <n v="1100"/>
    <x v="85"/>
    <s v="P002"/>
    <x v="0"/>
    <s v="Electronics"/>
    <s v="East"/>
    <s v="Aarav"/>
    <s v="Customer 3"/>
    <n v="1"/>
    <n v="28000"/>
    <n v="0.1"/>
    <n v="25200"/>
    <s v="Card"/>
    <s v="Cancelled"/>
    <m/>
    <s v="Low Sale"/>
    <m/>
    <s v="Average"/>
  </r>
  <r>
    <n v="1101"/>
    <x v="23"/>
    <s v="P010"/>
    <x v="9"/>
    <s v="Furniture"/>
    <s v="North"/>
    <s v="Diya"/>
    <s v="Customer 16"/>
    <n v="1"/>
    <n v="11000"/>
    <n v="0.05"/>
    <n v="10450"/>
    <s v="Bank Transfer"/>
    <s v="Completed"/>
    <m/>
    <s v="Low Sale"/>
    <m/>
    <s v="Average"/>
  </r>
  <r>
    <n v="1102"/>
    <x v="86"/>
    <s v="P003"/>
    <x v="4"/>
    <s v="Electronics"/>
    <s v="West"/>
    <s v="Kabir"/>
    <s v="Customer 14"/>
    <n v="7"/>
    <n v="22000"/>
    <n v="0.1"/>
    <n v="138600"/>
    <s v="UPI"/>
    <s v="Completed"/>
    <m/>
    <s v="High Sale"/>
    <m/>
    <s v="Excellent"/>
  </r>
  <r>
    <n v="1103"/>
    <x v="87"/>
    <s v="P002"/>
    <x v="0"/>
    <s v="Electronics"/>
    <s v="West"/>
    <s v="Kabir"/>
    <s v="Customer 22"/>
    <n v="3"/>
    <n v="28000"/>
    <n v="0.05"/>
    <n v="79800"/>
    <s v="Bank Transfer"/>
    <s v="Cancelled"/>
    <s v="Smartphone"/>
    <s v="Low Sale"/>
    <s v="Desk"/>
    <s v="Good"/>
  </r>
  <r>
    <n v="1104"/>
    <x v="9"/>
    <s v="P001"/>
    <x v="5"/>
    <s v="Electronics"/>
    <s v="East"/>
    <s v="Kabir"/>
    <s v="Customer 4"/>
    <n v="8"/>
    <n v="55000"/>
    <n v="0"/>
    <n v="440000"/>
    <s v="Bank Transfer"/>
    <s v="Cancelled"/>
    <m/>
    <s v="High Sale"/>
    <m/>
    <s v="Excellent"/>
  </r>
  <r>
    <n v="1105"/>
    <x v="88"/>
    <s v="P001"/>
    <x v="5"/>
    <s v="Electronics"/>
    <s v="South"/>
    <s v="Rohan"/>
    <s v="Customer 12"/>
    <n v="8"/>
    <n v="55000"/>
    <n v="0.1"/>
    <n v="396000"/>
    <s v="Bank Transfer"/>
    <s v="Pending"/>
    <m/>
    <s v="High Sale"/>
    <m/>
    <s v="Excellent"/>
  </r>
  <r>
    <n v="1106"/>
    <x v="89"/>
    <s v="P001"/>
    <x v="5"/>
    <s v="Electronics"/>
    <s v="South"/>
    <s v="Kabir"/>
    <s v="Customer 15"/>
    <n v="4"/>
    <n v="55000"/>
    <n v="0.05"/>
    <n v="209000"/>
    <s v="Bank Transfer"/>
    <s v="Completed"/>
    <m/>
    <s v="High Sale"/>
    <m/>
    <s v="Excellent"/>
  </r>
  <r>
    <n v="1107"/>
    <x v="90"/>
    <s v="P001"/>
    <x v="5"/>
    <s v="Electronics"/>
    <s v="North"/>
    <s v="Rohan"/>
    <s v="Customer 14"/>
    <n v="4"/>
    <n v="55000"/>
    <n v="0"/>
    <n v="220000"/>
    <s v="Cash"/>
    <s v="Completed"/>
    <m/>
    <s v="High Sale"/>
    <m/>
    <s v="Excellent"/>
  </r>
  <r>
    <n v="1108"/>
    <x v="91"/>
    <s v="P002"/>
    <x v="0"/>
    <s v="Electronics"/>
    <s v="South"/>
    <s v="Meera"/>
    <s v="Customer 30"/>
    <n v="8"/>
    <n v="28000"/>
    <n v="0"/>
    <n v="224000"/>
    <s v="UPI"/>
    <s v="Cancelled"/>
    <m/>
    <s v="High Sale"/>
    <m/>
    <s v="Excellent"/>
  </r>
  <r>
    <n v="1109"/>
    <x v="92"/>
    <s v="P005"/>
    <x v="3"/>
    <s v="Accessories"/>
    <s v="South"/>
    <s v="Meera"/>
    <s v="Customer 18"/>
    <n v="7"/>
    <n v="1200"/>
    <n v="0.1"/>
    <n v="7560"/>
    <s v="Card"/>
    <s v="Pending"/>
    <m/>
    <s v="Low Sale"/>
    <m/>
    <s v="Average"/>
  </r>
  <r>
    <n v="1110"/>
    <x v="93"/>
    <s v="P004"/>
    <x v="1"/>
    <s v="Accessories"/>
    <s v="West"/>
    <s v="Kabir"/>
    <s v="Customer 30"/>
    <n v="3"/>
    <n v="2500"/>
    <n v="0"/>
    <n v="7500"/>
    <s v="UPI"/>
    <s v="Completed"/>
    <m/>
    <s v="Low Sale"/>
    <m/>
    <s v="Average"/>
  </r>
  <r>
    <n v="1111"/>
    <x v="51"/>
    <s v="P005"/>
    <x v="3"/>
    <s v="Accessories"/>
    <s v="West"/>
    <s v="Diya"/>
    <s v="Customer 15"/>
    <n v="5"/>
    <n v="1200"/>
    <n v="0.15"/>
    <n v="5100"/>
    <s v="Bank Transfer"/>
    <s v="Completed"/>
    <m/>
    <s v="Low Sale"/>
    <m/>
    <s v="Average"/>
  </r>
  <r>
    <n v="1112"/>
    <x v="94"/>
    <s v="P006"/>
    <x v="2"/>
    <s v="Accessories"/>
    <s v="South"/>
    <s v="Anaya"/>
    <s v="Customer 8"/>
    <n v="7"/>
    <n v="800"/>
    <n v="0.1"/>
    <n v="5040"/>
    <s v="Bank Transfer"/>
    <s v="Completed"/>
    <m/>
    <s v="Low Sale"/>
    <m/>
    <s v="Average"/>
  </r>
  <r>
    <n v="1113"/>
    <x v="64"/>
    <s v="P007"/>
    <x v="8"/>
    <s v="Electronics"/>
    <s v="West"/>
    <s v="Meera"/>
    <s v="Customer 22"/>
    <n v="1"/>
    <n v="15000"/>
    <n v="0.05"/>
    <n v="14250"/>
    <s v="Card"/>
    <s v="Pending"/>
    <m/>
    <s v="Low Sale"/>
    <m/>
    <s v="Average"/>
  </r>
  <r>
    <n v="1114"/>
    <x v="95"/>
    <s v="P001"/>
    <x v="5"/>
    <s v="Electronics"/>
    <s v="East"/>
    <s v="Aarav"/>
    <s v="Customer 28"/>
    <n v="3"/>
    <n v="55000"/>
    <n v="0.15"/>
    <n v="140250"/>
    <s v="Bank Transfer"/>
    <s v="Completed"/>
    <m/>
    <s v="High Sale"/>
    <m/>
    <s v="Excellent"/>
  </r>
  <r>
    <n v="1115"/>
    <x v="96"/>
    <s v="P009"/>
    <x v="6"/>
    <s v="Furniture"/>
    <s v="West"/>
    <s v="Anaya"/>
    <s v="Customer 5"/>
    <n v="8"/>
    <n v="8500"/>
    <n v="0"/>
    <n v="68000"/>
    <s v="Cash"/>
    <s v="Pending"/>
    <m/>
    <s v="Low Sale"/>
    <m/>
    <s v="Good"/>
  </r>
  <r>
    <n v="1116"/>
    <x v="97"/>
    <s v="P005"/>
    <x v="3"/>
    <s v="Accessories"/>
    <s v="West"/>
    <s v="Anaya"/>
    <s v="Customer 3"/>
    <n v="6"/>
    <n v="1200"/>
    <n v="0.15"/>
    <n v="6120"/>
    <s v="UPI"/>
    <s v="Cancelled"/>
    <m/>
    <s v="Low Sale"/>
    <m/>
    <s v="Average"/>
  </r>
  <r>
    <n v="1117"/>
    <x v="98"/>
    <s v="P007"/>
    <x v="8"/>
    <s v="Electronics"/>
    <s v="North"/>
    <s v="Rohan"/>
    <s v="Customer 3"/>
    <n v="6"/>
    <n v="15000"/>
    <n v="0.1"/>
    <n v="81000"/>
    <s v="Card"/>
    <s v="Completed"/>
    <m/>
    <s v="Low Sale"/>
    <m/>
    <s v="Good"/>
  </r>
  <r>
    <n v="1118"/>
    <x v="79"/>
    <s v="P004"/>
    <x v="1"/>
    <s v="Accessories"/>
    <s v="North"/>
    <s v="Meera"/>
    <s v="Customer 6"/>
    <n v="2"/>
    <n v="2500"/>
    <n v="0.1"/>
    <n v="4500"/>
    <s v="UPI"/>
    <s v="Completed"/>
    <m/>
    <s v="Low Sale"/>
    <m/>
    <s v="Average"/>
  </r>
  <r>
    <n v="1119"/>
    <x v="99"/>
    <s v="P001"/>
    <x v="5"/>
    <s v="Electronics"/>
    <s v="East"/>
    <s v="Kabir"/>
    <s v="Customer 14"/>
    <n v="6"/>
    <n v="55000"/>
    <n v="0"/>
    <n v="330000"/>
    <s v="Card"/>
    <s v="Completed"/>
    <m/>
    <s v="High Sale"/>
    <m/>
    <s v="Excellent"/>
  </r>
  <r>
    <n v="1120"/>
    <x v="100"/>
    <s v="P009"/>
    <x v="6"/>
    <s v="Furniture"/>
    <s v="South"/>
    <s v="Diya"/>
    <s v="Customer 6"/>
    <n v="7"/>
    <n v="8500"/>
    <n v="0.15"/>
    <n v="50575"/>
    <s v="Cash"/>
    <s v="Cancelled"/>
    <m/>
    <s v="Low Sale"/>
    <m/>
    <s v="Good"/>
  </r>
  <r>
    <n v="1121"/>
    <x v="101"/>
    <s v="P007"/>
    <x v="8"/>
    <s v="Electronics"/>
    <s v="South"/>
    <s v="Diya"/>
    <s v="Customer 15"/>
    <n v="4"/>
    <n v="15000"/>
    <n v="0.1"/>
    <n v="54000"/>
    <s v="UPI"/>
    <s v="Pending"/>
    <m/>
    <s v="Low Sale"/>
    <m/>
    <s v="Good"/>
  </r>
  <r>
    <n v="1122"/>
    <x v="102"/>
    <s v="P005"/>
    <x v="3"/>
    <s v="Accessories"/>
    <s v="South"/>
    <s v="Aarav"/>
    <s v="Customer 15"/>
    <n v="1"/>
    <n v="1200"/>
    <n v="0.1"/>
    <n v="1080"/>
    <s v="UPI"/>
    <s v="Cancelled"/>
    <m/>
    <s v="Low Sale"/>
    <m/>
    <s v="Average"/>
  </r>
  <r>
    <n v="1123"/>
    <x v="103"/>
    <s v="P005"/>
    <x v="3"/>
    <s v="Accessories"/>
    <s v="East"/>
    <s v="Diya"/>
    <s v="Customer 13"/>
    <n v="7"/>
    <n v="1200"/>
    <n v="0.05"/>
    <n v="7980"/>
    <s v="Bank Transfer"/>
    <s v="Completed"/>
    <m/>
    <s v="Low Sale"/>
    <m/>
    <s v="Average"/>
  </r>
  <r>
    <n v="1124"/>
    <x v="104"/>
    <s v="P004"/>
    <x v="1"/>
    <s v="Accessories"/>
    <s v="East"/>
    <s v="Anaya"/>
    <s v="Customer 10"/>
    <n v="7"/>
    <n v="2500"/>
    <n v="0.15"/>
    <n v="14875"/>
    <s v="Cash"/>
    <s v="Pending"/>
    <m/>
    <s v="Low Sale"/>
    <m/>
    <s v="Average"/>
  </r>
  <r>
    <n v="1125"/>
    <x v="105"/>
    <s v="P005"/>
    <x v="3"/>
    <s v="Accessories"/>
    <s v="North"/>
    <s v="Rohan"/>
    <s v="Customer 24"/>
    <n v="1"/>
    <n v="1200"/>
    <n v="0.15"/>
    <n v="1020"/>
    <s v="Bank Transfer"/>
    <s v="Completed"/>
    <m/>
    <s v="Low Sale"/>
    <m/>
    <s v="Average"/>
  </r>
  <r>
    <n v="1126"/>
    <x v="106"/>
    <s v="P004"/>
    <x v="1"/>
    <s v="Accessories"/>
    <s v="South"/>
    <s v="Rohan"/>
    <s v="Customer 9"/>
    <n v="6"/>
    <n v="2500"/>
    <n v="0"/>
    <n v="15000"/>
    <s v="Card"/>
    <s v="Completed"/>
    <m/>
    <s v="Low Sale"/>
    <m/>
    <s v="Average"/>
  </r>
  <r>
    <n v="1127"/>
    <x v="107"/>
    <s v="P001"/>
    <x v="5"/>
    <s v="Electronics"/>
    <s v="East"/>
    <s v="Anaya"/>
    <s v="Customer 5"/>
    <n v="5"/>
    <n v="55000"/>
    <n v="0.1"/>
    <n v="247500"/>
    <s v="Cash"/>
    <s v="Completed"/>
    <m/>
    <s v="High Sale"/>
    <m/>
    <s v="Excellent"/>
  </r>
  <r>
    <n v="1128"/>
    <x v="108"/>
    <s v="P006"/>
    <x v="2"/>
    <s v="Accessories"/>
    <s v="South"/>
    <s v="Rohan"/>
    <s v="Customer 29"/>
    <n v="7"/>
    <n v="800"/>
    <n v="0"/>
    <n v="5600"/>
    <s v="UPI"/>
    <s v="Cancelled"/>
    <m/>
    <s v="Low Sale"/>
    <m/>
    <s v="Average"/>
  </r>
  <r>
    <n v="1129"/>
    <x v="109"/>
    <s v="P009"/>
    <x v="6"/>
    <s v="Furniture"/>
    <s v="West"/>
    <s v="Kabir"/>
    <s v="Customer 24"/>
    <n v="5"/>
    <n v="8500"/>
    <n v="0"/>
    <n v="42500"/>
    <s v="UPI"/>
    <s v="Completed"/>
    <m/>
    <s v="Low Sale"/>
    <m/>
    <s v="Average"/>
  </r>
  <r>
    <n v="1130"/>
    <x v="110"/>
    <s v="P008"/>
    <x v="7"/>
    <s v="Office"/>
    <s v="West"/>
    <s v="Rohan"/>
    <s v="Customer 12"/>
    <n v="2"/>
    <n v="12000"/>
    <n v="0"/>
    <n v="24000"/>
    <s v="Cash"/>
    <s v="Pending"/>
    <m/>
    <s v="Low Sale"/>
    <m/>
    <s v="Average"/>
  </r>
  <r>
    <n v="1131"/>
    <x v="111"/>
    <s v="P001"/>
    <x v="5"/>
    <s v="Electronics"/>
    <s v="West"/>
    <s v="Kabir"/>
    <s v="Customer 22"/>
    <n v="5"/>
    <n v="55000"/>
    <n v="0.15"/>
    <n v="233750"/>
    <s v="UPI"/>
    <s v="Cancelled"/>
    <m/>
    <s v="High Sale"/>
    <m/>
    <s v="Excellent"/>
  </r>
  <r>
    <n v="1132"/>
    <x v="112"/>
    <s v="P007"/>
    <x v="8"/>
    <s v="Electronics"/>
    <s v="South"/>
    <s v="Meera"/>
    <s v="Customer 1"/>
    <n v="6"/>
    <n v="15000"/>
    <n v="0"/>
    <n v="90000"/>
    <s v="UPI"/>
    <s v="Cancelled"/>
    <m/>
    <s v="Low Sale"/>
    <m/>
    <s v="Good"/>
  </r>
  <r>
    <n v="1133"/>
    <x v="84"/>
    <s v="P004"/>
    <x v="1"/>
    <s v="Accessories"/>
    <s v="East"/>
    <s v="Anaya"/>
    <s v="Customer 14"/>
    <n v="2"/>
    <n v="2500"/>
    <n v="0.1"/>
    <n v="4500"/>
    <s v="Cash"/>
    <s v="Completed"/>
    <m/>
    <s v="Low Sale"/>
    <m/>
    <s v="Average"/>
  </r>
  <r>
    <n v="1134"/>
    <x v="113"/>
    <s v="P001"/>
    <x v="5"/>
    <s v="Electronics"/>
    <s v="North"/>
    <s v="Aarav"/>
    <s v="Customer 8"/>
    <n v="1"/>
    <n v="55000"/>
    <n v="0.05"/>
    <n v="52250"/>
    <s v="Card"/>
    <s v="Pending"/>
    <m/>
    <s v="Low Sale"/>
    <m/>
    <s v="Good"/>
  </r>
  <r>
    <n v="1135"/>
    <x v="114"/>
    <s v="P008"/>
    <x v="7"/>
    <s v="Office"/>
    <s v="South"/>
    <s v="Meera"/>
    <s v="Customer 21"/>
    <n v="6"/>
    <n v="12000"/>
    <n v="0.15"/>
    <n v="61200"/>
    <s v="Cash"/>
    <s v="Pending"/>
    <m/>
    <s v="Low Sale"/>
    <m/>
    <s v="Good"/>
  </r>
  <r>
    <n v="1136"/>
    <x v="81"/>
    <s v="P010"/>
    <x v="9"/>
    <s v="Furniture"/>
    <s v="East"/>
    <s v="Diya"/>
    <s v="Customer 15"/>
    <n v="7"/>
    <n v="11000"/>
    <n v="0.05"/>
    <n v="73150"/>
    <s v="Bank Transfer"/>
    <s v="Completed"/>
    <m/>
    <s v="Low Sale"/>
    <m/>
    <s v="Good"/>
  </r>
  <r>
    <n v="1137"/>
    <x v="115"/>
    <s v="P006"/>
    <x v="2"/>
    <s v="Accessories"/>
    <s v="East"/>
    <s v="Aarav"/>
    <s v="Customer 13"/>
    <n v="2"/>
    <n v="800"/>
    <n v="0.05"/>
    <n v="1520"/>
    <s v="UPI"/>
    <s v="Completed"/>
    <m/>
    <s v="Low Sale"/>
    <m/>
    <s v="Average"/>
  </r>
  <r>
    <n v="1138"/>
    <x v="116"/>
    <s v="P002"/>
    <x v="0"/>
    <s v="Electronics"/>
    <s v="South"/>
    <s v="Anaya"/>
    <s v="Customer 21"/>
    <n v="8"/>
    <n v="28000"/>
    <n v="0"/>
    <n v="224000"/>
    <s v="Cash"/>
    <s v="Completed"/>
    <m/>
    <s v="High Sale"/>
    <m/>
    <s v="Excellent"/>
  </r>
  <r>
    <n v="1139"/>
    <x v="31"/>
    <s v="P006"/>
    <x v="2"/>
    <s v="Accessories"/>
    <s v="South"/>
    <s v="Aarav"/>
    <s v="Customer 27"/>
    <n v="4"/>
    <n v="800"/>
    <n v="0"/>
    <n v="3200"/>
    <s v="Card"/>
    <s v="Cancelled"/>
    <m/>
    <s v="Low Sale"/>
    <m/>
    <s v="Average"/>
  </r>
  <r>
    <n v="1140"/>
    <x v="117"/>
    <s v="P004"/>
    <x v="1"/>
    <s v="Accessories"/>
    <s v="North"/>
    <s v="Kabir"/>
    <s v="Customer 28"/>
    <n v="4"/>
    <n v="2500"/>
    <n v="0.05"/>
    <n v="9500"/>
    <s v="Card"/>
    <s v="Completed"/>
    <m/>
    <s v="Low Sale"/>
    <m/>
    <s v="Average"/>
  </r>
  <r>
    <n v="1141"/>
    <x v="12"/>
    <s v="P009"/>
    <x v="6"/>
    <s v="Furniture"/>
    <s v="North"/>
    <s v="Diya"/>
    <s v="Customer 1"/>
    <n v="5"/>
    <n v="8500"/>
    <n v="0"/>
    <n v="42500"/>
    <s v="UPI"/>
    <s v="Completed"/>
    <m/>
    <s v="Low Sale"/>
    <m/>
    <s v="Average"/>
  </r>
  <r>
    <n v="1142"/>
    <x v="118"/>
    <s v="P010"/>
    <x v="9"/>
    <s v="Furniture"/>
    <s v="East"/>
    <s v="Aarav"/>
    <s v="Customer 5"/>
    <n v="6"/>
    <n v="11000"/>
    <n v="0"/>
    <n v="66000"/>
    <s v="Bank Transfer"/>
    <s v="Cancelled"/>
    <m/>
    <s v="Low Sale"/>
    <m/>
    <s v="Good"/>
  </r>
  <r>
    <n v="1143"/>
    <x v="2"/>
    <s v="P002"/>
    <x v="0"/>
    <s v="Electronics"/>
    <s v="East"/>
    <s v="Rohan"/>
    <s v="Customer 19"/>
    <n v="2"/>
    <n v="28000"/>
    <n v="0.1"/>
    <n v="50400"/>
    <s v="Cash"/>
    <s v="Pending"/>
    <m/>
    <s v="Low Sale"/>
    <m/>
    <s v="Good"/>
  </r>
  <r>
    <n v="1144"/>
    <x v="47"/>
    <s v="P009"/>
    <x v="6"/>
    <s v="Furniture"/>
    <s v="East"/>
    <s v="Meera"/>
    <s v="Customer 21"/>
    <n v="4"/>
    <n v="8500"/>
    <n v="0.15"/>
    <n v="28900"/>
    <s v="Cash"/>
    <s v="Completed"/>
    <m/>
    <s v="Low Sale"/>
    <m/>
    <s v="Average"/>
  </r>
  <r>
    <n v="1145"/>
    <x v="105"/>
    <s v="P008"/>
    <x v="7"/>
    <s v="Office"/>
    <s v="North"/>
    <s v="Meera"/>
    <s v="Customer 23"/>
    <n v="7"/>
    <n v="12000"/>
    <n v="0.1"/>
    <n v="75600"/>
    <s v="Bank Transfer"/>
    <s v="Completed"/>
    <m/>
    <s v="Low Sale"/>
    <m/>
    <s v="Good"/>
  </r>
  <r>
    <n v="1146"/>
    <x v="117"/>
    <s v="P002"/>
    <x v="0"/>
    <s v="Electronics"/>
    <s v="North"/>
    <s v="Diya"/>
    <s v="Customer 9"/>
    <n v="6"/>
    <n v="28000"/>
    <n v="0.15"/>
    <n v="142800"/>
    <s v="UPI"/>
    <s v="Pending"/>
    <m/>
    <s v="High Sale"/>
    <m/>
    <s v="Excellent"/>
  </r>
  <r>
    <n v="1147"/>
    <x v="119"/>
    <s v="P010"/>
    <x v="9"/>
    <s v="Furniture"/>
    <s v="West"/>
    <s v="Aarav"/>
    <s v="Customer 26"/>
    <n v="5"/>
    <n v="11000"/>
    <n v="0.1"/>
    <n v="49500"/>
    <s v="Cash"/>
    <s v="Cancelled"/>
    <m/>
    <s v="Low Sale"/>
    <m/>
    <s v="Average"/>
  </r>
  <r>
    <n v="1148"/>
    <x v="120"/>
    <s v="P004"/>
    <x v="1"/>
    <s v="Accessories"/>
    <s v="West"/>
    <s v="Kabir"/>
    <s v="Customer 27"/>
    <n v="7"/>
    <n v="2500"/>
    <n v="0.1"/>
    <n v="15750"/>
    <s v="Bank Transfer"/>
    <s v="Pending"/>
    <m/>
    <s v="Low Sale"/>
    <m/>
    <s v="Average"/>
  </r>
  <r>
    <n v="1149"/>
    <x v="121"/>
    <s v="P007"/>
    <x v="8"/>
    <s v="Electronics"/>
    <s v="East"/>
    <s v="Anaya"/>
    <s v="Customer 9"/>
    <n v="2"/>
    <n v="15000"/>
    <n v="0.05"/>
    <n v="28500"/>
    <s v="UPI"/>
    <s v="Completed"/>
    <m/>
    <s v="Low Sale"/>
    <m/>
    <s v="Average"/>
  </r>
  <r>
    <n v="1150"/>
    <x v="122"/>
    <s v="P008"/>
    <x v="7"/>
    <s v="Office"/>
    <s v="North"/>
    <s v="Meera"/>
    <s v="Customer 4"/>
    <n v="2"/>
    <n v="12000"/>
    <n v="0"/>
    <n v="24000"/>
    <s v="UPI"/>
    <s v="Completed"/>
    <m/>
    <s v="Low Sale"/>
    <m/>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85CDA-B6F4-4B7A-B4CA-CC1768EFE2C9}" name="PivotTable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3:F16" firstHeaderRow="0" firstDataRow="1" firstDataCol="1"/>
  <pivotFields count="19">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11">
        <item x="9"/>
        <item x="1"/>
        <item x="3"/>
        <item x="5"/>
        <item x="8"/>
        <item x="2"/>
        <item x="6"/>
        <item x="7"/>
        <item x="0"/>
        <item x="4"/>
        <item t="default"/>
      </items>
    </pivotField>
    <pivotField showAll="0"/>
    <pivotField showAll="0"/>
    <pivotField showAll="0"/>
    <pivotField showAll="0"/>
    <pivotField showAll="0"/>
    <pivotField dataField="1" numFmtId="4" showAll="0"/>
    <pivotField numFmtId="9" showAll="0"/>
    <pivotField numFmtId="4"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rder ID" fld="0" baseField="0" baseItem="0"/>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0561B-FD5C-45A5-97E1-47B71D848D1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3:B25" firstHeaderRow="1" firstDataRow="1" firstDataCol="1"/>
  <pivotFields count="11">
    <pivotField showAll="0"/>
    <pivotField axis="axisRow" showAll="0">
      <items count="5">
        <item x="1"/>
        <item x="0"/>
        <item x="2"/>
        <item x="3"/>
        <item t="default"/>
      </items>
    </pivotField>
    <pivotField axis="axisRow" showAll="0">
      <items count="6">
        <item x="2"/>
        <item x="1"/>
        <item x="0"/>
        <item x="4"/>
        <item x="3"/>
        <item t="default"/>
      </items>
    </pivotField>
    <pivotField showAll="0">
      <items count="8">
        <item x="1"/>
        <item x="2"/>
        <item x="0"/>
        <item x="3"/>
        <item x="5"/>
        <item x="4"/>
        <item x="6"/>
        <item t="default"/>
      </items>
    </pivotField>
    <pivotField showAll="0"/>
    <pivotField showAll="0"/>
    <pivotField numFmtId="4" showAll="0"/>
    <pivotField numFmtId="9" showAll="0"/>
    <pivotField dataField="1" numFmtId="4" showAll="0"/>
    <pivotField showAll="0"/>
    <pivotField showAll="0">
      <items count="4">
        <item x="0"/>
        <item x="2"/>
        <item x="1"/>
        <item t="default"/>
      </items>
    </pivotField>
  </pivotFields>
  <rowFields count="2">
    <field x="1"/>
    <field x="2"/>
  </rowFields>
  <rowItems count="22">
    <i>
      <x/>
    </i>
    <i r="1">
      <x/>
    </i>
    <i r="1">
      <x v="1"/>
    </i>
    <i r="1">
      <x v="2"/>
    </i>
    <i r="1">
      <x v="4"/>
    </i>
    <i>
      <x v="1"/>
    </i>
    <i r="1">
      <x/>
    </i>
    <i r="1">
      <x v="1"/>
    </i>
    <i r="1">
      <x v="2"/>
    </i>
    <i r="1">
      <x v="4"/>
    </i>
    <i>
      <x v="2"/>
    </i>
    <i r="1">
      <x/>
    </i>
    <i r="1">
      <x v="1"/>
    </i>
    <i r="1">
      <x v="2"/>
    </i>
    <i r="1">
      <x v="3"/>
    </i>
    <i r="1">
      <x v="4"/>
    </i>
    <i>
      <x v="3"/>
    </i>
    <i r="1">
      <x/>
    </i>
    <i r="1">
      <x v="1"/>
    </i>
    <i r="1">
      <x v="2"/>
    </i>
    <i r="1">
      <x v="4"/>
    </i>
    <i t="grand">
      <x/>
    </i>
  </rowItems>
  <colItems count="1">
    <i/>
  </colItems>
  <dataFields count="1">
    <dataField name="Sum of Sales Amount" fld="8" baseField="0" baseItem="0"/>
  </dataFields>
  <chartFormats count="61">
    <chartFormat chart="8" format="2"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3">
          <reference field="4294967294" count="1" selected="0">
            <x v="0"/>
          </reference>
          <reference field="1" count="1" selected="0">
            <x v="0"/>
          </reference>
          <reference field="2" count="1" selected="0">
            <x v="0"/>
          </reference>
        </references>
      </pivotArea>
    </chartFormat>
    <chartFormat chart="11" format="21">
      <pivotArea type="data" outline="0" fieldPosition="0">
        <references count="3">
          <reference field="4294967294" count="1" selected="0">
            <x v="0"/>
          </reference>
          <reference field="1" count="1" selected="0">
            <x v="0"/>
          </reference>
          <reference field="2" count="1" selected="0">
            <x v="1"/>
          </reference>
        </references>
      </pivotArea>
    </chartFormat>
    <chartFormat chart="11" format="22">
      <pivotArea type="data" outline="0" fieldPosition="0">
        <references count="3">
          <reference field="4294967294" count="1" selected="0">
            <x v="0"/>
          </reference>
          <reference field="1" count="1" selected="0">
            <x v="0"/>
          </reference>
          <reference field="2" count="1" selected="0">
            <x v="2"/>
          </reference>
        </references>
      </pivotArea>
    </chartFormat>
    <chartFormat chart="11" format="23">
      <pivotArea type="data" outline="0" fieldPosition="0">
        <references count="3">
          <reference field="4294967294" count="1" selected="0">
            <x v="0"/>
          </reference>
          <reference field="1" count="1" selected="0">
            <x v="0"/>
          </reference>
          <reference field="2" count="1" selected="0">
            <x v="4"/>
          </reference>
        </references>
      </pivotArea>
    </chartFormat>
    <chartFormat chart="11" format="24">
      <pivotArea type="data" outline="0" fieldPosition="0">
        <references count="3">
          <reference field="4294967294" count="1" selected="0">
            <x v="0"/>
          </reference>
          <reference field="1" count="1" selected="0">
            <x v="1"/>
          </reference>
          <reference field="2" count="1" selected="0">
            <x v="0"/>
          </reference>
        </references>
      </pivotArea>
    </chartFormat>
    <chartFormat chart="11" format="25">
      <pivotArea type="data" outline="0" fieldPosition="0">
        <references count="3">
          <reference field="4294967294" count="1" selected="0">
            <x v="0"/>
          </reference>
          <reference field="1" count="1" selected="0">
            <x v="1"/>
          </reference>
          <reference field="2" count="1" selected="0">
            <x v="1"/>
          </reference>
        </references>
      </pivotArea>
    </chartFormat>
    <chartFormat chart="11" format="26">
      <pivotArea type="data" outline="0" fieldPosition="0">
        <references count="3">
          <reference field="4294967294" count="1" selected="0">
            <x v="0"/>
          </reference>
          <reference field="1" count="1" selected="0">
            <x v="1"/>
          </reference>
          <reference field="2" count="1" selected="0">
            <x v="2"/>
          </reference>
        </references>
      </pivotArea>
    </chartFormat>
    <chartFormat chart="11" format="27">
      <pivotArea type="data" outline="0" fieldPosition="0">
        <references count="3">
          <reference field="4294967294" count="1" selected="0">
            <x v="0"/>
          </reference>
          <reference field="1" count="1" selected="0">
            <x v="1"/>
          </reference>
          <reference field="2" count="1" selected="0">
            <x v="4"/>
          </reference>
        </references>
      </pivotArea>
    </chartFormat>
    <chartFormat chart="11" format="28">
      <pivotArea type="data" outline="0" fieldPosition="0">
        <references count="3">
          <reference field="4294967294" count="1" selected="0">
            <x v="0"/>
          </reference>
          <reference field="1" count="1" selected="0">
            <x v="2"/>
          </reference>
          <reference field="2" count="1" selected="0">
            <x v="0"/>
          </reference>
        </references>
      </pivotArea>
    </chartFormat>
    <chartFormat chart="11" format="29">
      <pivotArea type="data" outline="0" fieldPosition="0">
        <references count="3">
          <reference field="4294967294" count="1" selected="0">
            <x v="0"/>
          </reference>
          <reference field="1" count="1" selected="0">
            <x v="2"/>
          </reference>
          <reference field="2" count="1" selected="0">
            <x v="1"/>
          </reference>
        </references>
      </pivotArea>
    </chartFormat>
    <chartFormat chart="11" format="30">
      <pivotArea type="data" outline="0" fieldPosition="0">
        <references count="3">
          <reference field="4294967294" count="1" selected="0">
            <x v="0"/>
          </reference>
          <reference field="1" count="1" selected="0">
            <x v="2"/>
          </reference>
          <reference field="2" count="1" selected="0">
            <x v="2"/>
          </reference>
        </references>
      </pivotArea>
    </chartFormat>
    <chartFormat chart="11" format="31">
      <pivotArea type="data" outline="0" fieldPosition="0">
        <references count="3">
          <reference field="4294967294" count="1" selected="0">
            <x v="0"/>
          </reference>
          <reference field="1" count="1" selected="0">
            <x v="2"/>
          </reference>
          <reference field="2" count="1" selected="0">
            <x v="3"/>
          </reference>
        </references>
      </pivotArea>
    </chartFormat>
    <chartFormat chart="11" format="32">
      <pivotArea type="data" outline="0" fieldPosition="0">
        <references count="3">
          <reference field="4294967294" count="1" selected="0">
            <x v="0"/>
          </reference>
          <reference field="1" count="1" selected="0">
            <x v="2"/>
          </reference>
          <reference field="2" count="1" selected="0">
            <x v="4"/>
          </reference>
        </references>
      </pivotArea>
    </chartFormat>
    <chartFormat chart="11" format="33">
      <pivotArea type="data" outline="0" fieldPosition="0">
        <references count="3">
          <reference field="4294967294" count="1" selected="0">
            <x v="0"/>
          </reference>
          <reference field="1" count="1" selected="0">
            <x v="3"/>
          </reference>
          <reference field="2" count="1" selected="0">
            <x v="0"/>
          </reference>
        </references>
      </pivotArea>
    </chartFormat>
    <chartFormat chart="11" format="34">
      <pivotArea type="data" outline="0" fieldPosition="0">
        <references count="3">
          <reference field="4294967294" count="1" selected="0">
            <x v="0"/>
          </reference>
          <reference field="1" count="1" selected="0">
            <x v="3"/>
          </reference>
          <reference field="2" count="1" selected="0">
            <x v="1"/>
          </reference>
        </references>
      </pivotArea>
    </chartFormat>
    <chartFormat chart="11" format="35">
      <pivotArea type="data" outline="0" fieldPosition="0">
        <references count="3">
          <reference field="4294967294" count="1" selected="0">
            <x v="0"/>
          </reference>
          <reference field="1" count="1" selected="0">
            <x v="3"/>
          </reference>
          <reference field="2" count="1" selected="0">
            <x v="2"/>
          </reference>
        </references>
      </pivotArea>
    </chartFormat>
    <chartFormat chart="11" format="36">
      <pivotArea type="data" outline="0" fieldPosition="0">
        <references count="3">
          <reference field="4294967294" count="1" selected="0">
            <x v="0"/>
          </reference>
          <reference field="1" count="1" selected="0">
            <x v="3"/>
          </reference>
          <reference field="2" count="1" selected="0">
            <x v="4"/>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0"/>
          </reference>
        </references>
      </pivotArea>
    </chartFormat>
    <chartFormat chart="30" format="20">
      <pivotArea type="data" outline="0" fieldPosition="0">
        <references count="3">
          <reference field="4294967294" count="1" selected="0">
            <x v="0"/>
          </reference>
          <reference field="1" count="1" selected="0">
            <x v="0"/>
          </reference>
          <reference field="2" count="1" selected="0">
            <x v="0"/>
          </reference>
        </references>
      </pivotArea>
    </chartFormat>
    <chartFormat chart="30" format="21">
      <pivotArea type="data" outline="0" fieldPosition="0">
        <references count="3">
          <reference field="4294967294" count="1" selected="0">
            <x v="0"/>
          </reference>
          <reference field="1" count="1" selected="0">
            <x v="0"/>
          </reference>
          <reference field="2" count="1" selected="0">
            <x v="1"/>
          </reference>
        </references>
      </pivotArea>
    </chartFormat>
    <chartFormat chart="30" format="22">
      <pivotArea type="data" outline="0" fieldPosition="0">
        <references count="3">
          <reference field="4294967294" count="1" selected="0">
            <x v="0"/>
          </reference>
          <reference field="1" count="1" selected="0">
            <x v="0"/>
          </reference>
          <reference field="2" count="1" selected="0">
            <x v="2"/>
          </reference>
        </references>
      </pivotArea>
    </chartFormat>
    <chartFormat chart="30" format="23">
      <pivotArea type="data" outline="0" fieldPosition="0">
        <references count="3">
          <reference field="4294967294" count="1" selected="0">
            <x v="0"/>
          </reference>
          <reference field="1" count="1" selected="0">
            <x v="0"/>
          </reference>
          <reference field="2" count="1" selected="0">
            <x v="4"/>
          </reference>
        </references>
      </pivotArea>
    </chartFormat>
    <chartFormat chart="30" format="24">
      <pivotArea type="data" outline="0" fieldPosition="0">
        <references count="3">
          <reference field="4294967294" count="1" selected="0">
            <x v="0"/>
          </reference>
          <reference field="1" count="1" selected="0">
            <x v="1"/>
          </reference>
          <reference field="2" count="1" selected="0">
            <x v="0"/>
          </reference>
        </references>
      </pivotArea>
    </chartFormat>
    <chartFormat chart="30" format="25">
      <pivotArea type="data" outline="0" fieldPosition="0">
        <references count="3">
          <reference field="4294967294" count="1" selected="0">
            <x v="0"/>
          </reference>
          <reference field="1" count="1" selected="0">
            <x v="1"/>
          </reference>
          <reference field="2" count="1" selected="0">
            <x v="1"/>
          </reference>
        </references>
      </pivotArea>
    </chartFormat>
    <chartFormat chart="30" format="26">
      <pivotArea type="data" outline="0" fieldPosition="0">
        <references count="3">
          <reference field="4294967294" count="1" selected="0">
            <x v="0"/>
          </reference>
          <reference field="1" count="1" selected="0">
            <x v="1"/>
          </reference>
          <reference field="2" count="1" selected="0">
            <x v="2"/>
          </reference>
        </references>
      </pivotArea>
    </chartFormat>
    <chartFormat chart="30" format="27">
      <pivotArea type="data" outline="0" fieldPosition="0">
        <references count="3">
          <reference field="4294967294" count="1" selected="0">
            <x v="0"/>
          </reference>
          <reference field="1" count="1" selected="0">
            <x v="1"/>
          </reference>
          <reference field="2" count="1" selected="0">
            <x v="4"/>
          </reference>
        </references>
      </pivotArea>
    </chartFormat>
    <chartFormat chart="30" format="28">
      <pivotArea type="data" outline="0" fieldPosition="0">
        <references count="3">
          <reference field="4294967294" count="1" selected="0">
            <x v="0"/>
          </reference>
          <reference field="1" count="1" selected="0">
            <x v="2"/>
          </reference>
          <reference field="2" count="1" selected="0">
            <x v="0"/>
          </reference>
        </references>
      </pivotArea>
    </chartFormat>
    <chartFormat chart="30" format="29">
      <pivotArea type="data" outline="0" fieldPosition="0">
        <references count="3">
          <reference field="4294967294" count="1" selected="0">
            <x v="0"/>
          </reference>
          <reference field="1" count="1" selected="0">
            <x v="2"/>
          </reference>
          <reference field="2" count="1" selected="0">
            <x v="1"/>
          </reference>
        </references>
      </pivotArea>
    </chartFormat>
    <chartFormat chart="30" format="30">
      <pivotArea type="data" outline="0" fieldPosition="0">
        <references count="3">
          <reference field="4294967294" count="1" selected="0">
            <x v="0"/>
          </reference>
          <reference field="1" count="1" selected="0">
            <x v="2"/>
          </reference>
          <reference field="2" count="1" selected="0">
            <x v="2"/>
          </reference>
        </references>
      </pivotArea>
    </chartFormat>
    <chartFormat chart="30" format="31">
      <pivotArea type="data" outline="0" fieldPosition="0">
        <references count="3">
          <reference field="4294967294" count="1" selected="0">
            <x v="0"/>
          </reference>
          <reference field="1" count="1" selected="0">
            <x v="2"/>
          </reference>
          <reference field="2" count="1" selected="0">
            <x v="3"/>
          </reference>
        </references>
      </pivotArea>
    </chartFormat>
    <chartFormat chart="30" format="32">
      <pivotArea type="data" outline="0" fieldPosition="0">
        <references count="3">
          <reference field="4294967294" count="1" selected="0">
            <x v="0"/>
          </reference>
          <reference field="1" count="1" selected="0">
            <x v="2"/>
          </reference>
          <reference field="2" count="1" selected="0">
            <x v="4"/>
          </reference>
        </references>
      </pivotArea>
    </chartFormat>
    <chartFormat chart="30" format="33">
      <pivotArea type="data" outline="0" fieldPosition="0">
        <references count="3">
          <reference field="4294967294" count="1" selected="0">
            <x v="0"/>
          </reference>
          <reference field="1" count="1" selected="0">
            <x v="3"/>
          </reference>
          <reference field="2" count="1" selected="0">
            <x v="0"/>
          </reference>
        </references>
      </pivotArea>
    </chartFormat>
    <chartFormat chart="30" format="34">
      <pivotArea type="data" outline="0" fieldPosition="0">
        <references count="3">
          <reference field="4294967294" count="1" selected="0">
            <x v="0"/>
          </reference>
          <reference field="1" count="1" selected="0">
            <x v="3"/>
          </reference>
          <reference field="2" count="1" selected="0">
            <x v="1"/>
          </reference>
        </references>
      </pivotArea>
    </chartFormat>
    <chartFormat chart="30" format="35">
      <pivotArea type="data" outline="0" fieldPosition="0">
        <references count="3">
          <reference field="4294967294" count="1" selected="0">
            <x v="0"/>
          </reference>
          <reference field="1" count="1" selected="0">
            <x v="3"/>
          </reference>
          <reference field="2" count="1" selected="0">
            <x v="2"/>
          </reference>
        </references>
      </pivotArea>
    </chartFormat>
    <chartFormat chart="30" format="36">
      <pivotArea type="data" outline="0" fieldPosition="0">
        <references count="3">
          <reference field="4294967294" count="1" selected="0">
            <x v="0"/>
          </reference>
          <reference field="1" count="1" selected="0">
            <x v="3"/>
          </reference>
          <reference field="2" count="1" selected="0">
            <x v="4"/>
          </reference>
        </references>
      </pivotArea>
    </chartFormat>
    <chartFormat chart="31" format="19" series="1">
      <pivotArea type="data" outline="0" fieldPosition="0">
        <references count="1">
          <reference field="4294967294" count="1" selected="0">
            <x v="0"/>
          </reference>
        </references>
      </pivotArea>
    </chartFormat>
    <chartFormat chart="31" format="20">
      <pivotArea type="data" outline="0" fieldPosition="0">
        <references count="3">
          <reference field="4294967294" count="1" selected="0">
            <x v="0"/>
          </reference>
          <reference field="1" count="1" selected="0">
            <x v="0"/>
          </reference>
          <reference field="2" count="1" selected="0">
            <x v="0"/>
          </reference>
        </references>
      </pivotArea>
    </chartFormat>
    <chartFormat chart="31" format="21">
      <pivotArea type="data" outline="0" fieldPosition="0">
        <references count="3">
          <reference field="4294967294" count="1" selected="0">
            <x v="0"/>
          </reference>
          <reference field="1" count="1" selected="0">
            <x v="0"/>
          </reference>
          <reference field="2" count="1" selected="0">
            <x v="1"/>
          </reference>
        </references>
      </pivotArea>
    </chartFormat>
    <chartFormat chart="31" format="22">
      <pivotArea type="data" outline="0" fieldPosition="0">
        <references count="3">
          <reference field="4294967294" count="1" selected="0">
            <x v="0"/>
          </reference>
          <reference field="1" count="1" selected="0">
            <x v="0"/>
          </reference>
          <reference field="2" count="1" selected="0">
            <x v="2"/>
          </reference>
        </references>
      </pivotArea>
    </chartFormat>
    <chartFormat chart="31" format="23">
      <pivotArea type="data" outline="0" fieldPosition="0">
        <references count="3">
          <reference field="4294967294" count="1" selected="0">
            <x v="0"/>
          </reference>
          <reference field="1" count="1" selected="0">
            <x v="0"/>
          </reference>
          <reference field="2" count="1" selected="0">
            <x v="4"/>
          </reference>
        </references>
      </pivotArea>
    </chartFormat>
    <chartFormat chart="31" format="24">
      <pivotArea type="data" outline="0" fieldPosition="0">
        <references count="3">
          <reference field="4294967294" count="1" selected="0">
            <x v="0"/>
          </reference>
          <reference field="1" count="1" selected="0">
            <x v="1"/>
          </reference>
          <reference field="2" count="1" selected="0">
            <x v="0"/>
          </reference>
        </references>
      </pivotArea>
    </chartFormat>
    <chartFormat chart="31" format="25">
      <pivotArea type="data" outline="0" fieldPosition="0">
        <references count="3">
          <reference field="4294967294" count="1" selected="0">
            <x v="0"/>
          </reference>
          <reference field="1" count="1" selected="0">
            <x v="1"/>
          </reference>
          <reference field="2" count="1" selected="0">
            <x v="1"/>
          </reference>
        </references>
      </pivotArea>
    </chartFormat>
    <chartFormat chart="31" format="26">
      <pivotArea type="data" outline="0" fieldPosition="0">
        <references count="3">
          <reference field="4294967294" count="1" selected="0">
            <x v="0"/>
          </reference>
          <reference field="1" count="1" selected="0">
            <x v="1"/>
          </reference>
          <reference field="2" count="1" selected="0">
            <x v="2"/>
          </reference>
        </references>
      </pivotArea>
    </chartFormat>
    <chartFormat chart="31" format="27">
      <pivotArea type="data" outline="0" fieldPosition="0">
        <references count="3">
          <reference field="4294967294" count="1" selected="0">
            <x v="0"/>
          </reference>
          <reference field="1" count="1" selected="0">
            <x v="1"/>
          </reference>
          <reference field="2" count="1" selected="0">
            <x v="4"/>
          </reference>
        </references>
      </pivotArea>
    </chartFormat>
    <chartFormat chart="31" format="28">
      <pivotArea type="data" outline="0" fieldPosition="0">
        <references count="3">
          <reference field="4294967294" count="1" selected="0">
            <x v="0"/>
          </reference>
          <reference field="1" count="1" selected="0">
            <x v="2"/>
          </reference>
          <reference field="2" count="1" selected="0">
            <x v="0"/>
          </reference>
        </references>
      </pivotArea>
    </chartFormat>
    <chartFormat chart="31" format="29">
      <pivotArea type="data" outline="0" fieldPosition="0">
        <references count="3">
          <reference field="4294967294" count="1" selected="0">
            <x v="0"/>
          </reference>
          <reference field="1" count="1" selected="0">
            <x v="2"/>
          </reference>
          <reference field="2" count="1" selected="0">
            <x v="1"/>
          </reference>
        </references>
      </pivotArea>
    </chartFormat>
    <chartFormat chart="31" format="30">
      <pivotArea type="data" outline="0" fieldPosition="0">
        <references count="3">
          <reference field="4294967294" count="1" selected="0">
            <x v="0"/>
          </reference>
          <reference field="1" count="1" selected="0">
            <x v="2"/>
          </reference>
          <reference field="2" count="1" selected="0">
            <x v="2"/>
          </reference>
        </references>
      </pivotArea>
    </chartFormat>
    <chartFormat chart="31" format="31">
      <pivotArea type="data" outline="0" fieldPosition="0">
        <references count="3">
          <reference field="4294967294" count="1" selected="0">
            <x v="0"/>
          </reference>
          <reference field="1" count="1" selected="0">
            <x v="2"/>
          </reference>
          <reference field="2" count="1" selected="0">
            <x v="3"/>
          </reference>
        </references>
      </pivotArea>
    </chartFormat>
    <chartFormat chart="31" format="32">
      <pivotArea type="data" outline="0" fieldPosition="0">
        <references count="3">
          <reference field="4294967294" count="1" selected="0">
            <x v="0"/>
          </reference>
          <reference field="1" count="1" selected="0">
            <x v="2"/>
          </reference>
          <reference field="2" count="1" selected="0">
            <x v="4"/>
          </reference>
        </references>
      </pivotArea>
    </chartFormat>
    <chartFormat chart="31" format="33">
      <pivotArea type="data" outline="0" fieldPosition="0">
        <references count="3">
          <reference field="4294967294" count="1" selected="0">
            <x v="0"/>
          </reference>
          <reference field="1" count="1" selected="0">
            <x v="3"/>
          </reference>
          <reference field="2" count="1" selected="0">
            <x v="0"/>
          </reference>
        </references>
      </pivotArea>
    </chartFormat>
    <chartFormat chart="31" format="34">
      <pivotArea type="data" outline="0" fieldPosition="0">
        <references count="3">
          <reference field="4294967294" count="1" selected="0">
            <x v="0"/>
          </reference>
          <reference field="1" count="1" selected="0">
            <x v="3"/>
          </reference>
          <reference field="2" count="1" selected="0">
            <x v="1"/>
          </reference>
        </references>
      </pivotArea>
    </chartFormat>
    <chartFormat chart="31" format="35">
      <pivotArea type="data" outline="0" fieldPosition="0">
        <references count="3">
          <reference field="4294967294" count="1" selected="0">
            <x v="0"/>
          </reference>
          <reference field="1" count="1" selected="0">
            <x v="3"/>
          </reference>
          <reference field="2" count="1" selected="0">
            <x v="2"/>
          </reference>
        </references>
      </pivotArea>
    </chartFormat>
    <chartFormat chart="31" format="36">
      <pivotArea type="data" outline="0" fieldPosition="0">
        <references count="3">
          <reference field="4294967294" count="1" selected="0">
            <x v="0"/>
          </reference>
          <reference field="1" count="1" selected="0">
            <x v="3"/>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32065E-7E2A-4747-8D58-33F358B118AB}" sourceName="Category">
  <pivotTables>
    <pivotTable tabId="3" name="PivotTable2"/>
  </pivotTables>
  <data>
    <tabular pivotCacheId="495829632">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DCC2F0-11F1-4854-995A-62DACFA80D0F}" sourceName="Region">
  <pivotTables>
    <pivotTable tabId="3" name="PivotTable2"/>
  </pivotTables>
  <data>
    <tabular pivotCacheId="495829632">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92515F3-893A-4ED3-BD59-385F121D84D2}" sourceName="Order Status">
  <pivotTables>
    <pivotTable tabId="3" name="PivotTable2"/>
  </pivotTables>
  <data>
    <tabular pivotCacheId="4958296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EB45B09-23B7-4899-B301-41BC6CA40C2B}" sourceName="Salesperson">
  <pivotTables>
    <pivotTable tabId="3" name="PivotTable2"/>
  </pivotTables>
  <data>
    <tabular pivotCacheId="495829632">
      <items count="7">
        <i x="1" s="1"/>
        <i x="2" s="1"/>
        <i x="0" s="1"/>
        <i x="3"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7E6617-A387-4195-878A-34B3C8CCD058}" cache="Slicer_Category" caption="Category" rowHeight="234950"/>
  <slicer name="Region" xr10:uid="{B84F46BC-C3AA-4DBF-B239-74796A9FCD4E}" cache="Slicer_Region" caption="Region" rowHeight="234950"/>
  <slicer name="Order Status" xr10:uid="{074FFB48-8A7C-4D39-AA62-6795087C2C7C}" cache="Slicer_Order_Status" caption="Order Status" rowHeight="234950"/>
  <slicer name="Salesperson" xr10:uid="{CF553BC8-29AE-46E7-A304-E1F88ECB21EE}"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F00C4-F5A9-436E-88EA-D5760EB373F9}" name="Table1" displayName="Table1" ref="A1:S151" totalsRowShown="0" headerRowDxfId="16">
  <autoFilter ref="A1:S151" xr:uid="{6ECF00C4-F5A9-436E-88EA-D5760EB373F9}"/>
  <tableColumns count="19">
    <tableColumn id="1" xr3:uid="{2F143A4C-6B1F-424D-A617-021E6F00A078}" name="Order ID" dataDxfId="15"/>
    <tableColumn id="2" xr3:uid="{7AC441FE-2DD9-4C0B-8FFC-0DCEA69F788C}" name="Order Date" dataDxfId="14"/>
    <tableColumn id="3" xr3:uid="{FD9EAEC9-E36B-40E9-B1F4-2420821708C0}" name="Product ID" dataDxfId="13"/>
    <tableColumn id="4" xr3:uid="{2B9E843B-D6F7-4AB9-87CD-7F0007CF9646}" name="Product" dataDxfId="12"/>
    <tableColumn id="5" xr3:uid="{DAEB615D-ADA5-4CF3-A102-AD03FB38FAD1}" name="Category" dataDxfId="11"/>
    <tableColumn id="6" xr3:uid="{6B88A3D0-2929-4B0B-9182-05447CCF6F8B}" name="Region" dataDxfId="10"/>
    <tableColumn id="7" xr3:uid="{E616E6F2-0C55-487B-A6DB-D03F99DEBB2F}" name="Salesperson" dataDxfId="9"/>
    <tableColumn id="8" xr3:uid="{1B1C92EC-3A38-4193-A734-B2FB3F8B9C02}" name="Customer" dataDxfId="8"/>
    <tableColumn id="9" xr3:uid="{ECEC67CB-AC1A-418C-9094-B39E9B833E27}" name="Quantity" dataDxfId="7"/>
    <tableColumn id="10" xr3:uid="{7C84FF8D-0060-460F-989C-7B0D175ADDC7}" name="Unit Price" dataDxfId="6"/>
    <tableColumn id="11" xr3:uid="{5EC704B1-E173-49E2-84AA-128212CFE438}" name="Discount" dataDxfId="5"/>
    <tableColumn id="12" xr3:uid="{4A40BA47-8B6B-41F8-9FF4-2976F8CCDE7C}" name="Sales Amount" dataDxfId="4"/>
    <tableColumn id="13" xr3:uid="{304590CF-73CF-4C2F-B318-57613E2BF17C}" name="Payment Method" dataDxfId="3"/>
    <tableColumn id="14" xr3:uid="{C58573B1-9D02-4EE7-A49C-F439F9217D62}" name="Order Status" dataDxfId="2"/>
    <tableColumn id="15" xr3:uid="{818F3801-829E-45E7-AA2C-D8F35567087B}" name="Product details"/>
    <tableColumn id="16" xr3:uid="{315BB55D-4B47-445C-8F79-E9DA63F5B9B4}" name="High/low value">
      <calculatedColumnFormula>IF(L2&gt;100000, "High Sale", "Low Sale")</calculatedColumnFormula>
    </tableColumn>
    <tableColumn id="17" xr3:uid="{37D0735D-A32D-43BE-B8EF-9E6C948465C1}" name="Order search"/>
    <tableColumn id="18" xr3:uid="{BCE91691-946D-43AF-8FD2-AF91B738F9A9}" name="Result" dataDxfId="1">
      <calculatedColumnFormula>IF(L2&gt;=100000,"Excellent",IF(L2&gt;=50000,"Good","Average"))</calculatedColumnFormula>
    </tableColumn>
    <tableColumn id="19" xr3:uid="{6A47464E-DF25-476A-94EE-D3057A83A399}" name="Total  n umbers of orders" dataDxfId="0">
      <calculatedColumnFormula>ROWS(Table1[Order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146B54-11A9-4A36-9830-57358E452DD7}" sourceName="Order Date">
  <pivotTables>
    <pivotTable tabId="3" name="PivotTable4"/>
  </pivotTables>
  <state minimalRefreshVersion="6" lastRefreshVersion="6" pivotCacheId="192290821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C4D979-2A3B-4F73-88D0-19B898186E0F}" cache="NativeTimeline_Order_Date" caption="Order Date" level="2" selectionLevel="2" scrollPosition="2025-06-06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88E-D3D3-4D10-98AA-F8C62E1FA23C}">
  <dimension ref="A1:N154"/>
  <sheetViews>
    <sheetView workbookViewId="0">
      <selection activeCell="F13" sqref="F13"/>
    </sheetView>
  </sheetViews>
  <sheetFormatPr defaultRowHeight="14.4" x14ac:dyDescent="0.3"/>
  <cols>
    <col min="2" max="2" width="10.88671875" customWidth="1"/>
    <col min="12" max="12" width="11.6640625" customWidth="1"/>
    <col min="14" max="14" width="13.88671875" customWidth="1"/>
  </cols>
  <sheetData>
    <row r="1" spans="1:14"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row>
    <row r="2" spans="1:14" x14ac:dyDescent="0.3">
      <c r="A2" s="15">
        <v>1001</v>
      </c>
      <c r="B2" s="16">
        <v>45783</v>
      </c>
      <c r="C2" s="15" t="s">
        <v>14</v>
      </c>
      <c r="D2" s="15" t="s">
        <v>15</v>
      </c>
      <c r="E2" s="15" t="s">
        <v>16</v>
      </c>
      <c r="F2" s="15" t="s">
        <v>17</v>
      </c>
      <c r="G2" s="15" t="s">
        <v>18</v>
      </c>
      <c r="H2" s="15" t="s">
        <v>19</v>
      </c>
      <c r="I2" s="15">
        <v>1</v>
      </c>
      <c r="J2" s="17">
        <v>28000</v>
      </c>
      <c r="K2" s="18">
        <v>0.05</v>
      </c>
      <c r="L2" s="17">
        <v>26600</v>
      </c>
      <c r="M2" s="15" t="s">
        <v>20</v>
      </c>
      <c r="N2" s="15" t="s">
        <v>21</v>
      </c>
    </row>
    <row r="3" spans="1:14" x14ac:dyDescent="0.3">
      <c r="A3" s="15">
        <v>1002</v>
      </c>
      <c r="B3" s="16">
        <v>45673</v>
      </c>
      <c r="C3" s="15" t="s">
        <v>14</v>
      </c>
      <c r="D3" s="15" t="s">
        <v>15</v>
      </c>
      <c r="E3" s="15" t="s">
        <v>16</v>
      </c>
      <c r="F3" s="15" t="s">
        <v>22</v>
      </c>
      <c r="G3" s="15" t="s">
        <v>18</v>
      </c>
      <c r="H3" s="15" t="s">
        <v>23</v>
      </c>
      <c r="I3" s="15">
        <v>7</v>
      </c>
      <c r="J3" s="17">
        <v>28000</v>
      </c>
      <c r="K3" s="18">
        <v>0</v>
      </c>
      <c r="L3" s="17">
        <v>196000</v>
      </c>
      <c r="M3" s="15" t="s">
        <v>20</v>
      </c>
      <c r="N3" s="15" t="s">
        <v>21</v>
      </c>
    </row>
    <row r="4" spans="1:14" x14ac:dyDescent="0.3">
      <c r="A4" s="15">
        <v>1003</v>
      </c>
      <c r="B4" s="16">
        <v>45887</v>
      </c>
      <c r="C4" s="15" t="s">
        <v>24</v>
      </c>
      <c r="D4" s="15" t="s">
        <v>25</v>
      </c>
      <c r="E4" s="15" t="s">
        <v>26</v>
      </c>
      <c r="F4" s="15" t="s">
        <v>27</v>
      </c>
      <c r="G4" s="15" t="s">
        <v>28</v>
      </c>
      <c r="H4" s="15" t="s">
        <v>29</v>
      </c>
      <c r="I4" s="15">
        <v>7</v>
      </c>
      <c r="J4" s="17">
        <v>2500</v>
      </c>
      <c r="K4" s="18">
        <v>0</v>
      </c>
      <c r="L4" s="17">
        <v>17500</v>
      </c>
      <c r="M4" s="15" t="s">
        <v>30</v>
      </c>
      <c r="N4" s="15" t="s">
        <v>31</v>
      </c>
    </row>
    <row r="5" spans="1:14" x14ac:dyDescent="0.3">
      <c r="A5" s="15">
        <v>1004</v>
      </c>
      <c r="B5" s="16">
        <v>45768</v>
      </c>
      <c r="C5" s="15" t="s">
        <v>32</v>
      </c>
      <c r="D5" s="15" t="s">
        <v>33</v>
      </c>
      <c r="E5" s="15" t="s">
        <v>26</v>
      </c>
      <c r="F5" s="15" t="s">
        <v>27</v>
      </c>
      <c r="G5" s="15" t="s">
        <v>28</v>
      </c>
      <c r="H5" s="15" t="s">
        <v>34</v>
      </c>
      <c r="I5" s="15">
        <v>5</v>
      </c>
      <c r="J5" s="15">
        <v>800</v>
      </c>
      <c r="K5" s="18">
        <v>0</v>
      </c>
      <c r="L5" s="17">
        <v>4000</v>
      </c>
      <c r="M5" s="15" t="s">
        <v>35</v>
      </c>
      <c r="N5" s="15" t="s">
        <v>36</v>
      </c>
    </row>
    <row r="6" spans="1:14" x14ac:dyDescent="0.3">
      <c r="A6" s="15">
        <v>1005</v>
      </c>
      <c r="B6" s="16">
        <v>45793</v>
      </c>
      <c r="C6" s="15" t="s">
        <v>32</v>
      </c>
      <c r="D6" s="15" t="s">
        <v>33</v>
      </c>
      <c r="E6" s="15" t="s">
        <v>26</v>
      </c>
      <c r="F6" s="15" t="s">
        <v>22</v>
      </c>
      <c r="G6" s="15" t="s">
        <v>37</v>
      </c>
      <c r="H6" s="15" t="s">
        <v>38</v>
      </c>
      <c r="I6" s="15">
        <v>6</v>
      </c>
      <c r="J6" s="15">
        <v>800</v>
      </c>
      <c r="K6" s="18">
        <v>0.15</v>
      </c>
      <c r="L6" s="17">
        <v>4080</v>
      </c>
      <c r="M6" s="15" t="s">
        <v>20</v>
      </c>
      <c r="N6" s="15" t="s">
        <v>31</v>
      </c>
    </row>
    <row r="7" spans="1:14" x14ac:dyDescent="0.3">
      <c r="A7" s="15">
        <v>1006</v>
      </c>
      <c r="B7" s="16">
        <v>45843</v>
      </c>
      <c r="C7" s="15" t="s">
        <v>14</v>
      </c>
      <c r="D7" s="15" t="s">
        <v>15</v>
      </c>
      <c r="E7" s="15" t="s">
        <v>16</v>
      </c>
      <c r="F7" s="15" t="s">
        <v>17</v>
      </c>
      <c r="G7" s="15" t="s">
        <v>37</v>
      </c>
      <c r="H7" s="15" t="s">
        <v>34</v>
      </c>
      <c r="I7" s="15">
        <v>5</v>
      </c>
      <c r="J7" s="17">
        <v>28000</v>
      </c>
      <c r="K7" s="18">
        <v>0.15</v>
      </c>
      <c r="L7" s="17">
        <v>119000</v>
      </c>
      <c r="M7" s="15" t="s">
        <v>20</v>
      </c>
      <c r="N7" s="15" t="s">
        <v>36</v>
      </c>
    </row>
    <row r="8" spans="1:14" x14ac:dyDescent="0.3">
      <c r="A8" s="15">
        <v>1007</v>
      </c>
      <c r="B8" s="16">
        <v>45709</v>
      </c>
      <c r="C8" s="15" t="s">
        <v>39</v>
      </c>
      <c r="D8" s="15" t="s">
        <v>40</v>
      </c>
      <c r="E8" s="15" t="s">
        <v>26</v>
      </c>
      <c r="F8" s="15" t="s">
        <v>41</v>
      </c>
      <c r="G8" s="15" t="s">
        <v>42</v>
      </c>
      <c r="H8" s="15" t="s">
        <v>38</v>
      </c>
      <c r="I8" s="15">
        <v>2</v>
      </c>
      <c r="J8" s="17">
        <v>1200</v>
      </c>
      <c r="K8" s="18">
        <v>0</v>
      </c>
      <c r="L8" s="17">
        <v>2400</v>
      </c>
      <c r="M8" s="15" t="s">
        <v>43</v>
      </c>
      <c r="N8" s="15" t="s">
        <v>36</v>
      </c>
    </row>
    <row r="9" spans="1:14" x14ac:dyDescent="0.3">
      <c r="A9" s="15">
        <v>1008</v>
      </c>
      <c r="B9" s="16">
        <v>46001</v>
      </c>
      <c r="C9" s="15" t="s">
        <v>32</v>
      </c>
      <c r="D9" s="15" t="s">
        <v>33</v>
      </c>
      <c r="E9" s="15" t="s">
        <v>26</v>
      </c>
      <c r="F9" s="15" t="s">
        <v>27</v>
      </c>
      <c r="G9" s="15" t="s">
        <v>37</v>
      </c>
      <c r="H9" s="15" t="s">
        <v>44</v>
      </c>
      <c r="I9" s="15">
        <v>6</v>
      </c>
      <c r="J9" s="15">
        <v>800</v>
      </c>
      <c r="K9" s="18">
        <v>0</v>
      </c>
      <c r="L9" s="17">
        <v>4800</v>
      </c>
      <c r="M9" s="15" t="s">
        <v>20</v>
      </c>
      <c r="N9" s="15" t="s">
        <v>21</v>
      </c>
    </row>
    <row r="10" spans="1:14" x14ac:dyDescent="0.3">
      <c r="A10" s="15">
        <v>1009</v>
      </c>
      <c r="B10" s="16">
        <v>45894</v>
      </c>
      <c r="C10" s="15" t="s">
        <v>45</v>
      </c>
      <c r="D10" s="15" t="s">
        <v>46</v>
      </c>
      <c r="E10" s="15" t="s">
        <v>16</v>
      </c>
      <c r="F10" s="15" t="s">
        <v>41</v>
      </c>
      <c r="G10" s="15" t="s">
        <v>42</v>
      </c>
      <c r="H10" s="15" t="s">
        <v>44</v>
      </c>
      <c r="I10" s="15">
        <v>4</v>
      </c>
      <c r="J10" s="17">
        <v>22000</v>
      </c>
      <c r="K10" s="18">
        <v>0</v>
      </c>
      <c r="L10" s="17">
        <v>88000</v>
      </c>
      <c r="M10" s="15" t="s">
        <v>30</v>
      </c>
      <c r="N10" s="15" t="s">
        <v>36</v>
      </c>
    </row>
    <row r="11" spans="1:14" x14ac:dyDescent="0.3">
      <c r="A11" s="15">
        <v>1010</v>
      </c>
      <c r="B11" s="16">
        <v>45819</v>
      </c>
      <c r="C11" s="15" t="s">
        <v>47</v>
      </c>
      <c r="D11" s="15" t="s">
        <v>48</v>
      </c>
      <c r="E11" s="15" t="s">
        <v>16</v>
      </c>
      <c r="F11" s="15" t="s">
        <v>41</v>
      </c>
      <c r="G11" s="15" t="s">
        <v>42</v>
      </c>
      <c r="H11" s="15" t="s">
        <v>34</v>
      </c>
      <c r="I11" s="15">
        <v>4</v>
      </c>
      <c r="J11" s="17">
        <v>55000</v>
      </c>
      <c r="K11" s="18">
        <v>0</v>
      </c>
      <c r="L11" s="17">
        <v>220000</v>
      </c>
      <c r="M11" s="15" t="s">
        <v>30</v>
      </c>
      <c r="N11" s="15" t="s">
        <v>21</v>
      </c>
    </row>
    <row r="12" spans="1:14" x14ac:dyDescent="0.3">
      <c r="A12" s="15">
        <v>1011</v>
      </c>
      <c r="B12" s="16">
        <v>45860</v>
      </c>
      <c r="C12" s="15" t="s">
        <v>32</v>
      </c>
      <c r="D12" s="15" t="s">
        <v>33</v>
      </c>
      <c r="E12" s="15" t="s">
        <v>26</v>
      </c>
      <c r="F12" s="15" t="s">
        <v>41</v>
      </c>
      <c r="G12" s="15" t="s">
        <v>18</v>
      </c>
      <c r="H12" s="15" t="s">
        <v>49</v>
      </c>
      <c r="I12" s="15">
        <v>4</v>
      </c>
      <c r="J12" s="15">
        <v>800</v>
      </c>
      <c r="K12" s="18">
        <v>0.1</v>
      </c>
      <c r="L12" s="17">
        <v>2880</v>
      </c>
      <c r="M12" s="15" t="s">
        <v>30</v>
      </c>
      <c r="N12" s="15" t="s">
        <v>36</v>
      </c>
    </row>
    <row r="13" spans="1:14" x14ac:dyDescent="0.3">
      <c r="A13" s="15">
        <v>1012</v>
      </c>
      <c r="B13" s="16">
        <v>45877</v>
      </c>
      <c r="C13" s="15" t="s">
        <v>50</v>
      </c>
      <c r="D13" s="15" t="s">
        <v>51</v>
      </c>
      <c r="E13" s="15" t="s">
        <v>52</v>
      </c>
      <c r="F13" s="15" t="s">
        <v>41</v>
      </c>
      <c r="G13" s="15" t="s">
        <v>42</v>
      </c>
      <c r="H13" s="15" t="s">
        <v>23</v>
      </c>
      <c r="I13" s="15">
        <v>5</v>
      </c>
      <c r="J13" s="17">
        <v>8500</v>
      </c>
      <c r="K13" s="18">
        <v>0.15</v>
      </c>
      <c r="L13" s="17">
        <v>36125</v>
      </c>
      <c r="M13" s="15" t="s">
        <v>30</v>
      </c>
      <c r="N13" s="15" t="s">
        <v>21</v>
      </c>
    </row>
    <row r="14" spans="1:14" x14ac:dyDescent="0.3">
      <c r="A14" s="15">
        <v>1013</v>
      </c>
      <c r="B14" s="16">
        <v>45714</v>
      </c>
      <c r="C14" s="15" t="s">
        <v>53</v>
      </c>
      <c r="D14" s="15" t="s">
        <v>54</v>
      </c>
      <c r="E14" s="15" t="s">
        <v>55</v>
      </c>
      <c r="F14" s="15" t="s">
        <v>17</v>
      </c>
      <c r="G14" s="15" t="s">
        <v>37</v>
      </c>
      <c r="H14" s="15" t="s">
        <v>56</v>
      </c>
      <c r="I14" s="15">
        <v>2</v>
      </c>
      <c r="J14" s="17">
        <v>12000</v>
      </c>
      <c r="K14" s="18">
        <v>0</v>
      </c>
      <c r="L14" s="17">
        <v>24000</v>
      </c>
      <c r="M14" s="15" t="s">
        <v>35</v>
      </c>
      <c r="N14" s="15" t="s">
        <v>21</v>
      </c>
    </row>
    <row r="15" spans="1:14" x14ac:dyDescent="0.3">
      <c r="A15" s="15">
        <v>1014</v>
      </c>
      <c r="B15" s="16">
        <v>45963</v>
      </c>
      <c r="C15" s="15" t="s">
        <v>14</v>
      </c>
      <c r="D15" s="15" t="s">
        <v>15</v>
      </c>
      <c r="E15" s="15" t="s">
        <v>16</v>
      </c>
      <c r="F15" s="15" t="s">
        <v>41</v>
      </c>
      <c r="G15" s="15" t="s">
        <v>57</v>
      </c>
      <c r="H15" s="15" t="s">
        <v>49</v>
      </c>
      <c r="I15" s="15">
        <v>7</v>
      </c>
      <c r="J15" s="17">
        <v>28000</v>
      </c>
      <c r="K15" s="18">
        <v>0.1</v>
      </c>
      <c r="L15" s="17">
        <v>176400</v>
      </c>
      <c r="M15" s="15" t="s">
        <v>20</v>
      </c>
      <c r="N15" s="15" t="s">
        <v>36</v>
      </c>
    </row>
    <row r="16" spans="1:14" x14ac:dyDescent="0.3">
      <c r="A16" s="15">
        <v>1015</v>
      </c>
      <c r="B16" s="16">
        <v>45715</v>
      </c>
      <c r="C16" s="15" t="s">
        <v>50</v>
      </c>
      <c r="D16" s="15" t="s">
        <v>51</v>
      </c>
      <c r="E16" s="15" t="s">
        <v>52</v>
      </c>
      <c r="F16" s="15" t="s">
        <v>27</v>
      </c>
      <c r="G16" s="15" t="s">
        <v>58</v>
      </c>
      <c r="H16" s="15" t="s">
        <v>56</v>
      </c>
      <c r="I16" s="15">
        <v>5</v>
      </c>
      <c r="J16" s="17">
        <v>8500</v>
      </c>
      <c r="K16" s="18">
        <v>0.05</v>
      </c>
      <c r="L16" s="17">
        <v>40375</v>
      </c>
      <c r="M16" s="15" t="s">
        <v>35</v>
      </c>
      <c r="N16" s="15" t="s">
        <v>36</v>
      </c>
    </row>
    <row r="17" spans="1:14" x14ac:dyDescent="0.3">
      <c r="A17" s="15">
        <v>1016</v>
      </c>
      <c r="B17" s="16">
        <v>45712</v>
      </c>
      <c r="C17" s="15" t="s">
        <v>39</v>
      </c>
      <c r="D17" s="15" t="s">
        <v>40</v>
      </c>
      <c r="E17" s="15" t="s">
        <v>26</v>
      </c>
      <c r="F17" s="15" t="s">
        <v>27</v>
      </c>
      <c r="G17" s="15" t="s">
        <v>37</v>
      </c>
      <c r="H17" s="15" t="s">
        <v>59</v>
      </c>
      <c r="I17" s="15">
        <v>3</v>
      </c>
      <c r="J17" s="17">
        <v>1200</v>
      </c>
      <c r="K17" s="18">
        <v>0.15</v>
      </c>
      <c r="L17" s="17">
        <v>3060</v>
      </c>
      <c r="M17" s="15" t="s">
        <v>30</v>
      </c>
      <c r="N17" s="15" t="s">
        <v>36</v>
      </c>
    </row>
    <row r="18" spans="1:14" x14ac:dyDescent="0.3">
      <c r="A18" s="15">
        <v>1017</v>
      </c>
      <c r="B18" s="16">
        <v>45929</v>
      </c>
      <c r="C18" s="15" t="s">
        <v>32</v>
      </c>
      <c r="D18" s="15" t="s">
        <v>33</v>
      </c>
      <c r="E18" s="15" t="s">
        <v>26</v>
      </c>
      <c r="F18" s="15" t="s">
        <v>22</v>
      </c>
      <c r="G18" s="15" t="s">
        <v>57</v>
      </c>
      <c r="H18" s="15" t="s">
        <v>60</v>
      </c>
      <c r="I18" s="15">
        <v>3</v>
      </c>
      <c r="J18" s="15">
        <v>800</v>
      </c>
      <c r="K18" s="18">
        <v>0.15</v>
      </c>
      <c r="L18" s="17">
        <v>2040</v>
      </c>
      <c r="M18" s="15" t="s">
        <v>35</v>
      </c>
      <c r="N18" s="15" t="s">
        <v>36</v>
      </c>
    </row>
    <row r="19" spans="1:14" x14ac:dyDescent="0.3">
      <c r="A19" s="15">
        <v>1018</v>
      </c>
      <c r="B19" s="16">
        <v>45780</v>
      </c>
      <c r="C19" s="15" t="s">
        <v>14</v>
      </c>
      <c r="D19" s="15" t="s">
        <v>15</v>
      </c>
      <c r="E19" s="15" t="s">
        <v>16</v>
      </c>
      <c r="F19" s="15" t="s">
        <v>22</v>
      </c>
      <c r="G19" s="15" t="s">
        <v>18</v>
      </c>
      <c r="H19" s="15" t="s">
        <v>61</v>
      </c>
      <c r="I19" s="15">
        <v>6</v>
      </c>
      <c r="J19" s="17">
        <v>28000</v>
      </c>
      <c r="K19" s="18">
        <v>0.05</v>
      </c>
      <c r="L19" s="17">
        <v>159600</v>
      </c>
      <c r="M19" s="15" t="s">
        <v>20</v>
      </c>
      <c r="N19" s="15" t="s">
        <v>36</v>
      </c>
    </row>
    <row r="20" spans="1:14" x14ac:dyDescent="0.3">
      <c r="A20" s="15">
        <v>1019</v>
      </c>
      <c r="B20" s="16">
        <v>45722</v>
      </c>
      <c r="C20" s="15" t="s">
        <v>53</v>
      </c>
      <c r="D20" s="15" t="s">
        <v>54</v>
      </c>
      <c r="E20" s="15" t="s">
        <v>55</v>
      </c>
      <c r="F20" s="15" t="s">
        <v>17</v>
      </c>
      <c r="G20" s="15"/>
      <c r="H20" s="15" t="s">
        <v>62</v>
      </c>
      <c r="I20" s="15">
        <v>2</v>
      </c>
      <c r="J20" s="17">
        <v>12000</v>
      </c>
      <c r="K20" s="18">
        <v>0.15</v>
      </c>
      <c r="L20" s="17">
        <v>20400</v>
      </c>
      <c r="M20" s="15" t="s">
        <v>30</v>
      </c>
      <c r="N20" s="15" t="s">
        <v>36</v>
      </c>
    </row>
    <row r="21" spans="1:14" x14ac:dyDescent="0.3">
      <c r="A21" s="15">
        <v>1020</v>
      </c>
      <c r="B21" s="16">
        <v>45934</v>
      </c>
      <c r="C21" s="15" t="s">
        <v>50</v>
      </c>
      <c r="D21" s="15" t="s">
        <v>51</v>
      </c>
      <c r="E21" s="15" t="s">
        <v>52</v>
      </c>
      <c r="F21" s="15" t="s">
        <v>17</v>
      </c>
      <c r="G21" s="15" t="s">
        <v>37</v>
      </c>
      <c r="H21" s="15" t="s">
        <v>63</v>
      </c>
      <c r="I21" s="15">
        <v>7</v>
      </c>
      <c r="J21" s="17">
        <v>8500</v>
      </c>
      <c r="K21" s="18">
        <v>0</v>
      </c>
      <c r="L21" s="17">
        <v>59500</v>
      </c>
      <c r="M21" s="15" t="s">
        <v>35</v>
      </c>
      <c r="N21" s="15" t="s">
        <v>36</v>
      </c>
    </row>
    <row r="22" spans="1:14" x14ac:dyDescent="0.3">
      <c r="A22" s="15">
        <v>1021</v>
      </c>
      <c r="B22" s="16">
        <v>45784</v>
      </c>
      <c r="C22" s="15" t="s">
        <v>53</v>
      </c>
      <c r="D22" s="15" t="s">
        <v>54</v>
      </c>
      <c r="E22" s="15" t="s">
        <v>55</v>
      </c>
      <c r="F22" s="15" t="s">
        <v>17</v>
      </c>
      <c r="G22" s="15" t="s">
        <v>28</v>
      </c>
      <c r="H22" s="15" t="s">
        <v>60</v>
      </c>
      <c r="I22" s="15">
        <v>8</v>
      </c>
      <c r="J22" s="17">
        <v>12000</v>
      </c>
      <c r="K22" s="18">
        <v>0</v>
      </c>
      <c r="L22" s="17">
        <v>96000</v>
      </c>
      <c r="M22" s="15" t="s">
        <v>20</v>
      </c>
      <c r="N22" s="15" t="s">
        <v>21</v>
      </c>
    </row>
    <row r="23" spans="1:14" x14ac:dyDescent="0.3">
      <c r="A23" s="15">
        <v>1022</v>
      </c>
      <c r="B23" s="16">
        <v>45770</v>
      </c>
      <c r="C23" s="15" t="s">
        <v>50</v>
      </c>
      <c r="D23" s="15" t="s">
        <v>51</v>
      </c>
      <c r="E23" s="15" t="s">
        <v>52</v>
      </c>
      <c r="F23" s="15" t="s">
        <v>22</v>
      </c>
      <c r="G23" s="15" t="s">
        <v>28</v>
      </c>
      <c r="H23" s="15" t="s">
        <v>64</v>
      </c>
      <c r="I23" s="15">
        <v>4</v>
      </c>
      <c r="J23" s="17">
        <v>8500</v>
      </c>
      <c r="K23" s="18">
        <v>0.15</v>
      </c>
      <c r="L23" s="17">
        <v>28900</v>
      </c>
      <c r="M23" s="15" t="s">
        <v>20</v>
      </c>
      <c r="N23" s="15" t="s">
        <v>36</v>
      </c>
    </row>
    <row r="24" spans="1:14" x14ac:dyDescent="0.3">
      <c r="A24" s="15">
        <v>1023</v>
      </c>
      <c r="B24" s="16">
        <v>45694</v>
      </c>
      <c r="C24" s="15" t="s">
        <v>14</v>
      </c>
      <c r="D24" s="15" t="s">
        <v>15</v>
      </c>
      <c r="E24" s="15" t="s">
        <v>16</v>
      </c>
      <c r="F24" s="15" t="s">
        <v>17</v>
      </c>
      <c r="G24" s="15" t="s">
        <v>42</v>
      </c>
      <c r="H24" s="15" t="s">
        <v>65</v>
      </c>
      <c r="I24" s="15">
        <v>1</v>
      </c>
      <c r="J24" s="17">
        <v>28000</v>
      </c>
      <c r="K24" s="18">
        <v>0.05</v>
      </c>
      <c r="L24" s="17">
        <v>26600</v>
      </c>
      <c r="M24" s="15" t="s">
        <v>35</v>
      </c>
      <c r="N24" s="15" t="s">
        <v>36</v>
      </c>
    </row>
    <row r="25" spans="1:14" x14ac:dyDescent="0.3">
      <c r="A25" s="15">
        <v>1024</v>
      </c>
      <c r="B25" s="16">
        <v>45953</v>
      </c>
      <c r="C25" s="15" t="s">
        <v>50</v>
      </c>
      <c r="D25" s="15" t="s">
        <v>51</v>
      </c>
      <c r="E25" s="15" t="s">
        <v>52</v>
      </c>
      <c r="F25" s="15" t="s">
        <v>41</v>
      </c>
      <c r="G25" s="15" t="s">
        <v>18</v>
      </c>
      <c r="H25" s="15" t="s">
        <v>66</v>
      </c>
      <c r="I25" s="15">
        <v>3</v>
      </c>
      <c r="J25" s="17">
        <v>8500</v>
      </c>
      <c r="K25" s="18">
        <v>0.15</v>
      </c>
      <c r="L25" s="17">
        <v>21675</v>
      </c>
      <c r="M25" s="15" t="s">
        <v>35</v>
      </c>
      <c r="N25" s="15" t="s">
        <v>31</v>
      </c>
    </row>
    <row r="26" spans="1:14" x14ac:dyDescent="0.3">
      <c r="A26" s="15">
        <v>1025</v>
      </c>
      <c r="B26" s="16">
        <v>45995</v>
      </c>
      <c r="C26" s="15" t="s">
        <v>24</v>
      </c>
      <c r="D26" s="15" t="s">
        <v>25</v>
      </c>
      <c r="E26" s="15" t="s">
        <v>26</v>
      </c>
      <c r="F26" s="15" t="s">
        <v>41</v>
      </c>
      <c r="G26" s="15" t="s">
        <v>42</v>
      </c>
      <c r="H26" s="15" t="s">
        <v>67</v>
      </c>
      <c r="I26" s="15">
        <v>2</v>
      </c>
      <c r="J26" s="17">
        <v>2500</v>
      </c>
      <c r="K26" s="18">
        <v>0</v>
      </c>
      <c r="L26" s="17">
        <v>5000</v>
      </c>
      <c r="M26" s="15" t="s">
        <v>35</v>
      </c>
      <c r="N26" s="15" t="s">
        <v>31</v>
      </c>
    </row>
    <row r="27" spans="1:14" x14ac:dyDescent="0.3">
      <c r="A27" s="15">
        <v>1026</v>
      </c>
      <c r="B27" s="16">
        <v>45864</v>
      </c>
      <c r="C27" s="15" t="s">
        <v>47</v>
      </c>
      <c r="D27" s="15" t="s">
        <v>48</v>
      </c>
      <c r="E27" s="15" t="s">
        <v>16</v>
      </c>
      <c r="F27" s="15" t="s">
        <v>27</v>
      </c>
      <c r="G27" s="15" t="s">
        <v>28</v>
      </c>
      <c r="H27" s="15" t="s">
        <v>23</v>
      </c>
      <c r="I27" s="15">
        <v>2</v>
      </c>
      <c r="J27" s="17">
        <v>55000</v>
      </c>
      <c r="K27" s="18">
        <v>0</v>
      </c>
      <c r="L27" s="17">
        <v>110000</v>
      </c>
      <c r="M27" s="15" t="s">
        <v>30</v>
      </c>
      <c r="N27" s="15" t="s">
        <v>36</v>
      </c>
    </row>
    <row r="28" spans="1:14" x14ac:dyDescent="0.3">
      <c r="A28" s="15">
        <v>1027</v>
      </c>
      <c r="B28" s="16">
        <v>45874</v>
      </c>
      <c r="C28" s="15" t="s">
        <v>50</v>
      </c>
      <c r="D28" s="15" t="s">
        <v>51</v>
      </c>
      <c r="E28" s="15" t="s">
        <v>52</v>
      </c>
      <c r="F28" s="15" t="s">
        <v>17</v>
      </c>
      <c r="G28" s="15" t="s">
        <v>42</v>
      </c>
      <c r="H28" s="15" t="s">
        <v>38</v>
      </c>
      <c r="I28" s="15">
        <v>8</v>
      </c>
      <c r="J28" s="17">
        <v>8500</v>
      </c>
      <c r="K28" s="18">
        <v>0</v>
      </c>
      <c r="L28" s="17">
        <v>68000</v>
      </c>
      <c r="M28" s="15" t="s">
        <v>30</v>
      </c>
      <c r="N28" s="15" t="s">
        <v>36</v>
      </c>
    </row>
    <row r="29" spans="1:14" x14ac:dyDescent="0.3">
      <c r="A29" s="15">
        <v>1028</v>
      </c>
      <c r="B29" s="16">
        <v>45991</v>
      </c>
      <c r="C29" s="15" t="s">
        <v>53</v>
      </c>
      <c r="D29" s="15" t="s">
        <v>54</v>
      </c>
      <c r="E29" s="15" t="s">
        <v>55</v>
      </c>
      <c r="F29" s="15" t="s">
        <v>22</v>
      </c>
      <c r="G29" s="15" t="s">
        <v>28</v>
      </c>
      <c r="H29" s="15" t="s">
        <v>44</v>
      </c>
      <c r="I29" s="15">
        <v>2</v>
      </c>
      <c r="J29" s="17">
        <v>12000</v>
      </c>
      <c r="K29" s="18">
        <v>0</v>
      </c>
      <c r="L29" s="17">
        <v>24000</v>
      </c>
      <c r="M29" s="15" t="s">
        <v>30</v>
      </c>
      <c r="N29" s="15" t="s">
        <v>36</v>
      </c>
    </row>
    <row r="30" spans="1:14" x14ac:dyDescent="0.3">
      <c r="A30" s="15">
        <v>1029</v>
      </c>
      <c r="B30" s="16">
        <v>45767</v>
      </c>
      <c r="C30" s="15" t="s">
        <v>68</v>
      </c>
      <c r="D30" s="15" t="s">
        <v>69</v>
      </c>
      <c r="E30" s="15" t="s">
        <v>16</v>
      </c>
      <c r="F30" s="15" t="s">
        <v>41</v>
      </c>
      <c r="G30" s="15" t="s">
        <v>28</v>
      </c>
      <c r="H30" s="15" t="s">
        <v>56</v>
      </c>
      <c r="I30" s="15">
        <v>8</v>
      </c>
      <c r="J30" s="17">
        <v>15000</v>
      </c>
      <c r="K30" s="18">
        <v>0.1</v>
      </c>
      <c r="L30" s="17">
        <v>108000</v>
      </c>
      <c r="M30" s="15" t="s">
        <v>35</v>
      </c>
      <c r="N30" s="15" t="s">
        <v>36</v>
      </c>
    </row>
    <row r="31" spans="1:14" x14ac:dyDescent="0.3">
      <c r="A31" s="15">
        <v>1030</v>
      </c>
      <c r="B31" s="16">
        <v>45804</v>
      </c>
      <c r="C31" s="15" t="s">
        <v>68</v>
      </c>
      <c r="D31" s="15" t="s">
        <v>69</v>
      </c>
      <c r="E31" s="15" t="s">
        <v>16</v>
      </c>
      <c r="F31" s="15" t="s">
        <v>41</v>
      </c>
      <c r="G31" s="15" t="s">
        <v>37</v>
      </c>
      <c r="H31" s="15" t="s">
        <v>19</v>
      </c>
      <c r="I31" s="15">
        <v>5</v>
      </c>
      <c r="J31" s="17">
        <v>15000</v>
      </c>
      <c r="K31" s="18">
        <v>0.1</v>
      </c>
      <c r="L31" s="17">
        <v>67500</v>
      </c>
      <c r="M31" s="15" t="s">
        <v>35</v>
      </c>
      <c r="N31" s="15" t="s">
        <v>36</v>
      </c>
    </row>
    <row r="32" spans="1:14" x14ac:dyDescent="0.3">
      <c r="A32" s="15">
        <v>1031</v>
      </c>
      <c r="B32" s="16">
        <v>45687</v>
      </c>
      <c r="C32" s="15" t="s">
        <v>24</v>
      </c>
      <c r="D32" s="15" t="s">
        <v>25</v>
      </c>
      <c r="E32" s="15" t="s">
        <v>26</v>
      </c>
      <c r="F32" s="15" t="s">
        <v>22</v>
      </c>
      <c r="G32" s="15" t="s">
        <v>37</v>
      </c>
      <c r="H32" s="15" t="s">
        <v>60</v>
      </c>
      <c r="I32" s="15">
        <v>5</v>
      </c>
      <c r="J32" s="17">
        <v>2500</v>
      </c>
      <c r="K32" s="18">
        <v>0</v>
      </c>
      <c r="L32" s="17">
        <v>12500</v>
      </c>
      <c r="M32" s="15" t="s">
        <v>20</v>
      </c>
      <c r="N32" s="15" t="s">
        <v>36</v>
      </c>
    </row>
    <row r="33" spans="1:14" x14ac:dyDescent="0.3">
      <c r="A33" s="15">
        <v>1032</v>
      </c>
      <c r="B33" s="16">
        <v>45929</v>
      </c>
      <c r="C33" s="15" t="s">
        <v>70</v>
      </c>
      <c r="D33" s="15" t="s">
        <v>71</v>
      </c>
      <c r="E33" s="15" t="s">
        <v>52</v>
      </c>
      <c r="F33" s="15" t="s">
        <v>17</v>
      </c>
      <c r="G33" s="15" t="s">
        <v>28</v>
      </c>
      <c r="H33" s="15" t="s">
        <v>59</v>
      </c>
      <c r="I33" s="15">
        <v>8</v>
      </c>
      <c r="J33" s="17">
        <v>11000</v>
      </c>
      <c r="K33" s="18">
        <v>0.15</v>
      </c>
      <c r="L33" s="17">
        <v>74800</v>
      </c>
      <c r="M33" s="15" t="s">
        <v>20</v>
      </c>
      <c r="N33" s="15" t="s">
        <v>36</v>
      </c>
    </row>
    <row r="34" spans="1:14" x14ac:dyDescent="0.3">
      <c r="A34" s="15">
        <v>1033</v>
      </c>
      <c r="B34" s="16">
        <v>45864</v>
      </c>
      <c r="C34" s="15" t="s">
        <v>14</v>
      </c>
      <c r="D34" s="15" t="s">
        <v>15</v>
      </c>
      <c r="E34" s="15" t="s">
        <v>16</v>
      </c>
      <c r="F34" s="15" t="s">
        <v>22</v>
      </c>
      <c r="G34" s="15" t="s">
        <v>57</v>
      </c>
      <c r="H34" s="15" t="s">
        <v>23</v>
      </c>
      <c r="I34" s="15">
        <v>2</v>
      </c>
      <c r="J34" s="17">
        <v>28000</v>
      </c>
      <c r="K34" s="18">
        <v>0</v>
      </c>
      <c r="L34" s="17">
        <v>56000</v>
      </c>
      <c r="M34" s="15" t="s">
        <v>20</v>
      </c>
      <c r="N34" s="15" t="s">
        <v>21</v>
      </c>
    </row>
    <row r="35" spans="1:14" x14ac:dyDescent="0.3">
      <c r="A35" s="15">
        <v>1034</v>
      </c>
      <c r="B35" s="16">
        <v>45947</v>
      </c>
      <c r="C35" s="15" t="s">
        <v>14</v>
      </c>
      <c r="D35" s="15" t="s">
        <v>15</v>
      </c>
      <c r="E35" s="15" t="s">
        <v>16</v>
      </c>
      <c r="F35" s="15" t="s">
        <v>27</v>
      </c>
      <c r="G35" s="15" t="s">
        <v>42</v>
      </c>
      <c r="H35" s="15" t="s">
        <v>72</v>
      </c>
      <c r="I35" s="15">
        <v>7</v>
      </c>
      <c r="J35" s="17">
        <v>28000</v>
      </c>
      <c r="K35" s="18">
        <v>0.15</v>
      </c>
      <c r="L35" s="17">
        <v>166600</v>
      </c>
      <c r="M35" s="15" t="s">
        <v>43</v>
      </c>
      <c r="N35" s="15" t="s">
        <v>36</v>
      </c>
    </row>
    <row r="36" spans="1:14" x14ac:dyDescent="0.3">
      <c r="A36" s="15">
        <v>1035</v>
      </c>
      <c r="B36" s="16">
        <v>46001</v>
      </c>
      <c r="C36" s="15" t="s">
        <v>39</v>
      </c>
      <c r="D36" s="15" t="s">
        <v>40</v>
      </c>
      <c r="E36" s="15" t="s">
        <v>26</v>
      </c>
      <c r="F36" s="15" t="s">
        <v>27</v>
      </c>
      <c r="G36" s="15" t="s">
        <v>58</v>
      </c>
      <c r="H36" s="15" t="s">
        <v>60</v>
      </c>
      <c r="I36" s="15">
        <v>7</v>
      </c>
      <c r="J36" s="17">
        <v>1200</v>
      </c>
      <c r="K36" s="18">
        <v>0</v>
      </c>
      <c r="L36" s="17">
        <v>8400</v>
      </c>
      <c r="M36" s="15" t="s">
        <v>20</v>
      </c>
      <c r="N36" s="15" t="s">
        <v>36</v>
      </c>
    </row>
    <row r="37" spans="1:14" x14ac:dyDescent="0.3">
      <c r="A37" s="15">
        <v>1036</v>
      </c>
      <c r="B37" s="16">
        <v>45933</v>
      </c>
      <c r="C37" s="15" t="s">
        <v>53</v>
      </c>
      <c r="D37" s="15" t="s">
        <v>54</v>
      </c>
      <c r="E37" s="15" t="s">
        <v>55</v>
      </c>
      <c r="F37" s="15" t="s">
        <v>17</v>
      </c>
      <c r="G37" s="15" t="s">
        <v>57</v>
      </c>
      <c r="H37" s="15" t="s">
        <v>49</v>
      </c>
      <c r="I37" s="15">
        <v>2</v>
      </c>
      <c r="J37" s="17">
        <v>12000</v>
      </c>
      <c r="K37" s="18">
        <v>0</v>
      </c>
      <c r="L37" s="17">
        <v>24000</v>
      </c>
      <c r="M37" s="15" t="s">
        <v>30</v>
      </c>
      <c r="N37" s="15" t="s">
        <v>36</v>
      </c>
    </row>
    <row r="38" spans="1:14" x14ac:dyDescent="0.3">
      <c r="A38" s="15">
        <v>1037</v>
      </c>
      <c r="B38" s="16">
        <v>45803</v>
      </c>
      <c r="C38" s="15" t="s">
        <v>14</v>
      </c>
      <c r="D38" s="15" t="s">
        <v>15</v>
      </c>
      <c r="E38" s="15" t="s">
        <v>16</v>
      </c>
      <c r="F38" s="15" t="s">
        <v>17</v>
      </c>
      <c r="G38" s="15" t="s">
        <v>58</v>
      </c>
      <c r="H38" s="15" t="s">
        <v>73</v>
      </c>
      <c r="I38" s="15">
        <v>4</v>
      </c>
      <c r="J38" s="17">
        <v>28000</v>
      </c>
      <c r="K38" s="18">
        <v>0.05</v>
      </c>
      <c r="L38" s="17">
        <v>106400</v>
      </c>
      <c r="M38" s="15"/>
      <c r="N38" s="15" t="s">
        <v>21</v>
      </c>
    </row>
    <row r="39" spans="1:14" x14ac:dyDescent="0.3">
      <c r="A39" s="15">
        <v>1038</v>
      </c>
      <c r="B39" s="16">
        <v>45811</v>
      </c>
      <c r="C39" s="15" t="s">
        <v>50</v>
      </c>
      <c r="D39" s="15" t="s">
        <v>51</v>
      </c>
      <c r="E39" s="15" t="s">
        <v>52</v>
      </c>
      <c r="F39" s="15" t="s">
        <v>22</v>
      </c>
      <c r="G39" s="15" t="s">
        <v>18</v>
      </c>
      <c r="H39" s="15" t="s">
        <v>49</v>
      </c>
      <c r="I39" s="15">
        <v>1</v>
      </c>
      <c r="J39" s="17">
        <v>8500</v>
      </c>
      <c r="K39" s="18">
        <v>0.15</v>
      </c>
      <c r="L39" s="17">
        <v>7225</v>
      </c>
      <c r="M39" s="15" t="s">
        <v>20</v>
      </c>
      <c r="N39" s="15" t="s">
        <v>36</v>
      </c>
    </row>
    <row r="40" spans="1:14" x14ac:dyDescent="0.3">
      <c r="A40" s="15">
        <v>1039</v>
      </c>
      <c r="B40" s="16">
        <v>45802</v>
      </c>
      <c r="C40" s="15" t="s">
        <v>50</v>
      </c>
      <c r="D40" s="15" t="s">
        <v>51</v>
      </c>
      <c r="E40" s="15" t="s">
        <v>52</v>
      </c>
      <c r="F40" s="15" t="s">
        <v>17</v>
      </c>
      <c r="G40" s="15" t="s">
        <v>37</v>
      </c>
      <c r="H40" s="15" t="s">
        <v>60</v>
      </c>
      <c r="I40" s="15">
        <v>3</v>
      </c>
      <c r="J40" s="17">
        <v>8500</v>
      </c>
      <c r="K40" s="18">
        <v>0.05</v>
      </c>
      <c r="L40" s="17">
        <v>24225</v>
      </c>
      <c r="M40" s="15" t="s">
        <v>30</v>
      </c>
      <c r="N40" s="15" t="s">
        <v>36</v>
      </c>
    </row>
    <row r="41" spans="1:14" x14ac:dyDescent="0.3">
      <c r="A41" s="15">
        <v>1040</v>
      </c>
      <c r="B41" s="16">
        <v>45684</v>
      </c>
      <c r="C41" s="15" t="s">
        <v>50</v>
      </c>
      <c r="D41" s="15" t="s">
        <v>51</v>
      </c>
      <c r="E41" s="15" t="s">
        <v>52</v>
      </c>
      <c r="F41" s="15" t="s">
        <v>22</v>
      </c>
      <c r="G41" s="15" t="s">
        <v>37</v>
      </c>
      <c r="H41" s="15" t="s">
        <v>67</v>
      </c>
      <c r="I41" s="15">
        <v>8</v>
      </c>
      <c r="J41" s="17">
        <v>8500</v>
      </c>
      <c r="K41" s="18">
        <v>0.05</v>
      </c>
      <c r="L41" s="17">
        <v>64600</v>
      </c>
      <c r="M41" s="15" t="s">
        <v>43</v>
      </c>
      <c r="N41" s="15" t="s">
        <v>36</v>
      </c>
    </row>
    <row r="42" spans="1:14" x14ac:dyDescent="0.3">
      <c r="A42" s="15">
        <v>1041</v>
      </c>
      <c r="B42" s="16">
        <v>45984</v>
      </c>
      <c r="C42" s="15" t="s">
        <v>47</v>
      </c>
      <c r="D42" s="15" t="s">
        <v>48</v>
      </c>
      <c r="E42" s="15" t="s">
        <v>16</v>
      </c>
      <c r="F42" s="15" t="s">
        <v>27</v>
      </c>
      <c r="G42" s="15" t="s">
        <v>18</v>
      </c>
      <c r="H42" s="15" t="s">
        <v>19</v>
      </c>
      <c r="I42" s="15">
        <v>6</v>
      </c>
      <c r="J42" s="17">
        <v>55000</v>
      </c>
      <c r="K42" s="18">
        <v>0</v>
      </c>
      <c r="L42" s="17">
        <v>330000</v>
      </c>
      <c r="M42" s="15" t="s">
        <v>35</v>
      </c>
      <c r="N42" s="15" t="s">
        <v>21</v>
      </c>
    </row>
    <row r="43" spans="1:14" x14ac:dyDescent="0.3">
      <c r="A43" s="15">
        <v>1042</v>
      </c>
      <c r="B43" s="16">
        <v>45696</v>
      </c>
      <c r="C43" s="15" t="s">
        <v>68</v>
      </c>
      <c r="D43" s="15" t="s">
        <v>69</v>
      </c>
      <c r="E43" s="15" t="s">
        <v>16</v>
      </c>
      <c r="F43" s="15" t="s">
        <v>17</v>
      </c>
      <c r="G43" s="15" t="s">
        <v>57</v>
      </c>
      <c r="H43" s="15" t="s">
        <v>74</v>
      </c>
      <c r="I43" s="15">
        <v>1</v>
      </c>
      <c r="J43" s="17">
        <v>15000</v>
      </c>
      <c r="K43" s="18">
        <v>0</v>
      </c>
      <c r="L43" s="17">
        <v>15000</v>
      </c>
      <c r="M43" s="15" t="s">
        <v>43</v>
      </c>
      <c r="N43" s="15" t="s">
        <v>21</v>
      </c>
    </row>
    <row r="44" spans="1:14" x14ac:dyDescent="0.3">
      <c r="A44" s="15">
        <v>1043</v>
      </c>
      <c r="B44" s="16">
        <v>45723</v>
      </c>
      <c r="C44" s="15" t="s">
        <v>50</v>
      </c>
      <c r="D44" s="15" t="s">
        <v>51</v>
      </c>
      <c r="E44" s="15" t="s">
        <v>52</v>
      </c>
      <c r="F44" s="15" t="s">
        <v>22</v>
      </c>
      <c r="G44" s="15" t="s">
        <v>42</v>
      </c>
      <c r="H44" s="15" t="s">
        <v>75</v>
      </c>
      <c r="I44" s="15">
        <v>3</v>
      </c>
      <c r="J44" s="17">
        <v>8500</v>
      </c>
      <c r="K44" s="18">
        <v>0.1</v>
      </c>
      <c r="L44" s="17">
        <v>22950</v>
      </c>
      <c r="M44" s="15" t="s">
        <v>20</v>
      </c>
      <c r="N44" s="15" t="s">
        <v>36</v>
      </c>
    </row>
    <row r="45" spans="1:14" x14ac:dyDescent="0.3">
      <c r="A45" s="15">
        <v>1044</v>
      </c>
      <c r="B45" s="16">
        <v>45839</v>
      </c>
      <c r="C45" s="15" t="s">
        <v>24</v>
      </c>
      <c r="D45" s="15" t="s">
        <v>25</v>
      </c>
      <c r="E45" s="15" t="s">
        <v>26</v>
      </c>
      <c r="F45" s="15" t="s">
        <v>41</v>
      </c>
      <c r="G45" s="15" t="s">
        <v>57</v>
      </c>
      <c r="H45" s="15" t="s">
        <v>19</v>
      </c>
      <c r="I45" s="15">
        <v>4</v>
      </c>
      <c r="J45" s="17">
        <v>2500</v>
      </c>
      <c r="K45" s="18">
        <v>0</v>
      </c>
      <c r="L45" s="17">
        <v>10000</v>
      </c>
      <c r="M45" s="15" t="s">
        <v>30</v>
      </c>
      <c r="N45" s="15" t="s">
        <v>36</v>
      </c>
    </row>
    <row r="46" spans="1:14" x14ac:dyDescent="0.3">
      <c r="A46" s="15">
        <v>1045</v>
      </c>
      <c r="B46" s="16">
        <v>45670</v>
      </c>
      <c r="C46" s="15" t="s">
        <v>45</v>
      </c>
      <c r="D46" s="15" t="s">
        <v>46</v>
      </c>
      <c r="E46" s="15" t="s">
        <v>16</v>
      </c>
      <c r="F46" s="15" t="s">
        <v>17</v>
      </c>
      <c r="G46" s="15" t="s">
        <v>37</v>
      </c>
      <c r="H46" s="15" t="s">
        <v>44</v>
      </c>
      <c r="I46" s="15">
        <v>3</v>
      </c>
      <c r="J46" s="17">
        <v>22000</v>
      </c>
      <c r="K46" s="18">
        <v>0.1</v>
      </c>
      <c r="L46" s="17">
        <v>59400</v>
      </c>
      <c r="M46" s="15" t="s">
        <v>43</v>
      </c>
      <c r="N46" s="15" t="s">
        <v>31</v>
      </c>
    </row>
    <row r="47" spans="1:14" x14ac:dyDescent="0.3">
      <c r="A47" s="15">
        <v>1046</v>
      </c>
      <c r="B47" s="16">
        <v>46017</v>
      </c>
      <c r="C47" s="15" t="s">
        <v>24</v>
      </c>
      <c r="D47" s="15" t="s">
        <v>25</v>
      </c>
      <c r="E47" s="15" t="s">
        <v>26</v>
      </c>
      <c r="F47" s="15" t="s">
        <v>22</v>
      </c>
      <c r="G47" s="15" t="s">
        <v>58</v>
      </c>
      <c r="H47" s="15" t="s">
        <v>76</v>
      </c>
      <c r="I47" s="15">
        <v>5</v>
      </c>
      <c r="J47" s="17">
        <v>2500</v>
      </c>
      <c r="K47" s="18">
        <v>0</v>
      </c>
      <c r="L47" s="17">
        <v>12500</v>
      </c>
      <c r="M47" s="15" t="s">
        <v>20</v>
      </c>
      <c r="N47" s="15" t="s">
        <v>31</v>
      </c>
    </row>
    <row r="48" spans="1:14" x14ac:dyDescent="0.3">
      <c r="A48" s="15">
        <v>1047</v>
      </c>
      <c r="B48" s="16">
        <v>45837</v>
      </c>
      <c r="C48" s="15" t="s">
        <v>24</v>
      </c>
      <c r="D48" s="15" t="s">
        <v>25</v>
      </c>
      <c r="E48" s="15" t="s">
        <v>26</v>
      </c>
      <c r="F48" s="15" t="s">
        <v>27</v>
      </c>
      <c r="G48" s="15" t="s">
        <v>18</v>
      </c>
      <c r="H48" s="15" t="s">
        <v>23</v>
      </c>
      <c r="I48" s="15">
        <v>4</v>
      </c>
      <c r="J48" s="17">
        <v>2500</v>
      </c>
      <c r="K48" s="18">
        <v>0.1</v>
      </c>
      <c r="L48" s="17">
        <v>9000</v>
      </c>
      <c r="M48" s="15" t="s">
        <v>20</v>
      </c>
      <c r="N48" s="15" t="s">
        <v>36</v>
      </c>
    </row>
    <row r="49" spans="1:14" x14ac:dyDescent="0.3">
      <c r="A49" s="15">
        <v>1048</v>
      </c>
      <c r="B49" s="16">
        <v>45693</v>
      </c>
      <c r="C49" s="15" t="s">
        <v>68</v>
      </c>
      <c r="D49" s="15" t="s">
        <v>69</v>
      </c>
      <c r="E49" s="15" t="s">
        <v>16</v>
      </c>
      <c r="F49" s="15" t="s">
        <v>27</v>
      </c>
      <c r="G49" s="15" t="s">
        <v>42</v>
      </c>
      <c r="H49" s="15" t="s">
        <v>77</v>
      </c>
      <c r="I49" s="15">
        <v>6</v>
      </c>
      <c r="J49" s="17">
        <v>15000</v>
      </c>
      <c r="K49" s="18">
        <v>0.05</v>
      </c>
      <c r="L49" s="17">
        <v>85500</v>
      </c>
      <c r="M49" s="15" t="s">
        <v>35</v>
      </c>
      <c r="N49" s="15" t="s">
        <v>21</v>
      </c>
    </row>
    <row r="50" spans="1:14" x14ac:dyDescent="0.3">
      <c r="A50" s="15">
        <v>1049</v>
      </c>
      <c r="B50" s="16">
        <v>45791</v>
      </c>
      <c r="C50" s="15" t="s">
        <v>32</v>
      </c>
      <c r="D50" s="15" t="s">
        <v>33</v>
      </c>
      <c r="E50" s="15" t="s">
        <v>26</v>
      </c>
      <c r="F50" s="15" t="s">
        <v>17</v>
      </c>
      <c r="G50" s="15" t="s">
        <v>57</v>
      </c>
      <c r="H50" s="15" t="s">
        <v>49</v>
      </c>
      <c r="I50" s="15">
        <v>1</v>
      </c>
      <c r="J50" s="15">
        <v>800</v>
      </c>
      <c r="K50" s="18">
        <v>0</v>
      </c>
      <c r="L50" s="15">
        <v>800</v>
      </c>
      <c r="M50" s="15" t="s">
        <v>20</v>
      </c>
      <c r="N50" s="15" t="s">
        <v>36</v>
      </c>
    </row>
    <row r="51" spans="1:14" x14ac:dyDescent="0.3">
      <c r="A51" s="15">
        <v>1050</v>
      </c>
      <c r="B51" s="16">
        <v>45818</v>
      </c>
      <c r="C51" s="15" t="s">
        <v>70</v>
      </c>
      <c r="D51" s="15" t="s">
        <v>71</v>
      </c>
      <c r="E51" s="15" t="s">
        <v>52</v>
      </c>
      <c r="F51" s="15" t="s">
        <v>41</v>
      </c>
      <c r="G51" s="15" t="s">
        <v>57</v>
      </c>
      <c r="H51" s="15" t="s">
        <v>59</v>
      </c>
      <c r="I51" s="15">
        <v>7</v>
      </c>
      <c r="J51" s="17">
        <v>11000</v>
      </c>
      <c r="K51" s="18">
        <v>0.05</v>
      </c>
      <c r="L51" s="17">
        <v>73150</v>
      </c>
      <c r="M51" s="15" t="s">
        <v>20</v>
      </c>
      <c r="N51" s="15" t="s">
        <v>31</v>
      </c>
    </row>
    <row r="52" spans="1:14" x14ac:dyDescent="0.3">
      <c r="A52" s="15">
        <v>1051</v>
      </c>
      <c r="B52" s="16">
        <v>45680</v>
      </c>
      <c r="C52" s="15" t="s">
        <v>70</v>
      </c>
      <c r="D52" s="15" t="s">
        <v>71</v>
      </c>
      <c r="E52" s="15" t="s">
        <v>52</v>
      </c>
      <c r="F52" s="15" t="s">
        <v>41</v>
      </c>
      <c r="G52" s="15" t="s">
        <v>28</v>
      </c>
      <c r="H52" s="15" t="s">
        <v>59</v>
      </c>
      <c r="I52" s="15">
        <v>4</v>
      </c>
      <c r="J52" s="17">
        <v>11000</v>
      </c>
      <c r="K52" s="18">
        <v>0.05</v>
      </c>
      <c r="L52" s="17">
        <v>41800</v>
      </c>
      <c r="M52" s="15" t="s">
        <v>30</v>
      </c>
      <c r="N52" s="15" t="s">
        <v>36</v>
      </c>
    </row>
    <row r="53" spans="1:14" x14ac:dyDescent="0.3">
      <c r="A53" s="15">
        <v>1052</v>
      </c>
      <c r="B53" s="16">
        <v>45977</v>
      </c>
      <c r="C53" s="15" t="s">
        <v>68</v>
      </c>
      <c r="D53" s="15" t="s">
        <v>69</v>
      </c>
      <c r="E53" s="15" t="s">
        <v>16</v>
      </c>
      <c r="F53" s="15" t="s">
        <v>27</v>
      </c>
      <c r="G53" s="15" t="s">
        <v>37</v>
      </c>
      <c r="H53" s="15" t="s">
        <v>76</v>
      </c>
      <c r="I53" s="15">
        <v>2</v>
      </c>
      <c r="J53" s="17">
        <v>15000</v>
      </c>
      <c r="K53" s="18">
        <v>0.05</v>
      </c>
      <c r="L53" s="17">
        <v>28500</v>
      </c>
      <c r="M53" s="15" t="s">
        <v>20</v>
      </c>
      <c r="N53" s="15" t="s">
        <v>36</v>
      </c>
    </row>
    <row r="54" spans="1:14" x14ac:dyDescent="0.3">
      <c r="A54" s="15">
        <v>1053</v>
      </c>
      <c r="B54" s="16">
        <v>45825</v>
      </c>
      <c r="C54" s="15" t="s">
        <v>50</v>
      </c>
      <c r="D54" s="15" t="s">
        <v>51</v>
      </c>
      <c r="E54" s="15" t="s">
        <v>52</v>
      </c>
      <c r="F54" s="15" t="s">
        <v>41</v>
      </c>
      <c r="G54" s="15" t="s">
        <v>37</v>
      </c>
      <c r="H54" s="15" t="s">
        <v>63</v>
      </c>
      <c r="I54" s="15">
        <v>5</v>
      </c>
      <c r="J54" s="17">
        <v>8500</v>
      </c>
      <c r="K54" s="18">
        <v>0.1</v>
      </c>
      <c r="L54" s="17">
        <v>38250</v>
      </c>
      <c r="M54" s="15" t="s">
        <v>30</v>
      </c>
      <c r="N54" s="15" t="s">
        <v>36</v>
      </c>
    </row>
    <row r="55" spans="1:14" x14ac:dyDescent="0.3">
      <c r="A55" s="15">
        <v>1054</v>
      </c>
      <c r="B55" s="16">
        <v>45973</v>
      </c>
      <c r="C55" s="15" t="s">
        <v>68</v>
      </c>
      <c r="D55" s="15" t="s">
        <v>69</v>
      </c>
      <c r="E55" s="15" t="s">
        <v>16</v>
      </c>
      <c r="F55" s="15" t="s">
        <v>27</v>
      </c>
      <c r="G55" s="15" t="s">
        <v>58</v>
      </c>
      <c r="H55" s="15" t="s">
        <v>78</v>
      </c>
      <c r="I55" s="15">
        <v>7</v>
      </c>
      <c r="J55" s="17">
        <v>15000</v>
      </c>
      <c r="K55" s="18">
        <v>0</v>
      </c>
      <c r="L55" s="17">
        <v>105000</v>
      </c>
      <c r="M55" s="15" t="s">
        <v>20</v>
      </c>
      <c r="N55" s="15" t="s">
        <v>36</v>
      </c>
    </row>
    <row r="56" spans="1:14" x14ac:dyDescent="0.3">
      <c r="A56" s="15">
        <v>1055</v>
      </c>
      <c r="B56" s="16">
        <v>45954</v>
      </c>
      <c r="C56" s="15" t="s">
        <v>39</v>
      </c>
      <c r="D56" s="15" t="s">
        <v>40</v>
      </c>
      <c r="E56" s="15" t="s">
        <v>26</v>
      </c>
      <c r="F56" s="15" t="s">
        <v>27</v>
      </c>
      <c r="G56" s="15" t="s">
        <v>58</v>
      </c>
      <c r="H56" s="15" t="s">
        <v>38</v>
      </c>
      <c r="I56" s="15">
        <v>4</v>
      </c>
      <c r="J56" s="17">
        <v>1200</v>
      </c>
      <c r="K56" s="18">
        <v>0.1</v>
      </c>
      <c r="L56" s="17">
        <v>4320</v>
      </c>
      <c r="M56" s="15" t="s">
        <v>35</v>
      </c>
      <c r="N56" s="15" t="s">
        <v>36</v>
      </c>
    </row>
    <row r="57" spans="1:14" x14ac:dyDescent="0.3">
      <c r="A57" s="15">
        <v>1056</v>
      </c>
      <c r="B57" s="16">
        <v>45995</v>
      </c>
      <c r="C57" s="15" t="s">
        <v>50</v>
      </c>
      <c r="D57" s="15" t="s">
        <v>51</v>
      </c>
      <c r="E57" s="15" t="s">
        <v>52</v>
      </c>
      <c r="F57" s="15" t="s">
        <v>22</v>
      </c>
      <c r="G57" s="15" t="s">
        <v>42</v>
      </c>
      <c r="H57" s="15" t="s">
        <v>59</v>
      </c>
      <c r="I57" s="15">
        <v>8</v>
      </c>
      <c r="J57" s="17">
        <v>8500</v>
      </c>
      <c r="K57" s="18">
        <v>0</v>
      </c>
      <c r="L57" s="17">
        <v>68000</v>
      </c>
      <c r="M57" s="15" t="s">
        <v>43</v>
      </c>
      <c r="N57" s="15" t="s">
        <v>36</v>
      </c>
    </row>
    <row r="58" spans="1:14" x14ac:dyDescent="0.3">
      <c r="A58" s="15">
        <v>1057</v>
      </c>
      <c r="B58" s="16">
        <v>45759</v>
      </c>
      <c r="C58" s="15" t="s">
        <v>24</v>
      </c>
      <c r="D58" s="15" t="s">
        <v>25</v>
      </c>
      <c r="E58" s="15" t="s">
        <v>26</v>
      </c>
      <c r="F58" s="15" t="s">
        <v>17</v>
      </c>
      <c r="G58" s="15" t="s">
        <v>28</v>
      </c>
      <c r="H58" s="15" t="s">
        <v>74</v>
      </c>
      <c r="I58" s="15">
        <v>5</v>
      </c>
      <c r="J58" s="17">
        <v>2500</v>
      </c>
      <c r="K58" s="18">
        <v>0</v>
      </c>
      <c r="L58" s="17">
        <v>12500</v>
      </c>
      <c r="M58" s="15" t="s">
        <v>30</v>
      </c>
      <c r="N58" s="15" t="s">
        <v>31</v>
      </c>
    </row>
    <row r="59" spans="1:14" x14ac:dyDescent="0.3">
      <c r="A59" s="15">
        <v>1058</v>
      </c>
      <c r="B59" s="16">
        <v>45870</v>
      </c>
      <c r="C59" s="15" t="s">
        <v>70</v>
      </c>
      <c r="D59" s="15" t="s">
        <v>71</v>
      </c>
      <c r="E59" s="15" t="s">
        <v>52</v>
      </c>
      <c r="F59" s="15" t="s">
        <v>79</v>
      </c>
      <c r="G59" s="15" t="s">
        <v>37</v>
      </c>
      <c r="H59" s="15" t="s">
        <v>64</v>
      </c>
      <c r="I59" s="15">
        <v>2</v>
      </c>
      <c r="J59" s="17">
        <v>11000</v>
      </c>
      <c r="K59" s="18">
        <v>0.1</v>
      </c>
      <c r="L59" s="17">
        <v>19800</v>
      </c>
      <c r="M59" s="15" t="s">
        <v>35</v>
      </c>
      <c r="N59" s="15" t="s">
        <v>31</v>
      </c>
    </row>
    <row r="60" spans="1:14" x14ac:dyDescent="0.3">
      <c r="A60" s="15">
        <v>1059</v>
      </c>
      <c r="B60" s="16">
        <v>45993</v>
      </c>
      <c r="C60" s="15" t="s">
        <v>68</v>
      </c>
      <c r="D60" s="15" t="s">
        <v>69</v>
      </c>
      <c r="E60" s="15" t="s">
        <v>16</v>
      </c>
      <c r="F60" s="15" t="s">
        <v>22</v>
      </c>
      <c r="G60" s="15" t="s">
        <v>28</v>
      </c>
      <c r="H60" s="15" t="s">
        <v>29</v>
      </c>
      <c r="I60" s="15">
        <v>4</v>
      </c>
      <c r="J60" s="17">
        <v>15000</v>
      </c>
      <c r="K60" s="18">
        <v>0</v>
      </c>
      <c r="L60" s="17">
        <v>60000</v>
      </c>
      <c r="M60" s="15" t="s">
        <v>35</v>
      </c>
      <c r="N60" s="15" t="s">
        <v>36</v>
      </c>
    </row>
    <row r="61" spans="1:14" x14ac:dyDescent="0.3">
      <c r="A61" s="15">
        <v>1060</v>
      </c>
      <c r="B61" s="16">
        <v>45943</v>
      </c>
      <c r="C61" s="15" t="s">
        <v>45</v>
      </c>
      <c r="D61" s="15" t="s">
        <v>46</v>
      </c>
      <c r="E61" s="15" t="s">
        <v>16</v>
      </c>
      <c r="F61" s="15" t="s">
        <v>17</v>
      </c>
      <c r="G61" s="15" t="s">
        <v>28</v>
      </c>
      <c r="H61" s="15" t="s">
        <v>38</v>
      </c>
      <c r="I61" s="15">
        <v>8</v>
      </c>
      <c r="J61" s="17">
        <v>22000</v>
      </c>
      <c r="K61" s="18">
        <v>0</v>
      </c>
      <c r="L61" s="17">
        <v>176000</v>
      </c>
      <c r="M61" s="15" t="s">
        <v>30</v>
      </c>
      <c r="N61" s="15" t="s">
        <v>31</v>
      </c>
    </row>
    <row r="62" spans="1:14" x14ac:dyDescent="0.3">
      <c r="A62" s="15">
        <v>1061</v>
      </c>
      <c r="B62" s="16">
        <v>45971</v>
      </c>
      <c r="C62" s="15" t="s">
        <v>50</v>
      </c>
      <c r="D62" s="15" t="s">
        <v>51</v>
      </c>
      <c r="E62" s="15" t="s">
        <v>52</v>
      </c>
      <c r="F62" s="15" t="s">
        <v>41</v>
      </c>
      <c r="G62" s="15" t="s">
        <v>57</v>
      </c>
      <c r="H62" s="15" t="s">
        <v>38</v>
      </c>
      <c r="I62" s="15">
        <v>6</v>
      </c>
      <c r="J62" s="17">
        <v>8500</v>
      </c>
      <c r="K62" s="18">
        <v>0.1</v>
      </c>
      <c r="L62" s="17">
        <v>45900</v>
      </c>
      <c r="M62" s="15" t="s">
        <v>30</v>
      </c>
      <c r="N62" s="15" t="s">
        <v>31</v>
      </c>
    </row>
    <row r="63" spans="1:14" x14ac:dyDescent="0.3">
      <c r="A63" s="15">
        <v>1062</v>
      </c>
      <c r="B63" s="16">
        <v>45984</v>
      </c>
      <c r="C63" s="15" t="s">
        <v>53</v>
      </c>
      <c r="D63" s="15" t="s">
        <v>54</v>
      </c>
      <c r="E63" s="15" t="s">
        <v>55</v>
      </c>
      <c r="F63" s="15" t="s">
        <v>27</v>
      </c>
      <c r="G63" s="15" t="s">
        <v>57</v>
      </c>
      <c r="H63" s="15" t="s">
        <v>62</v>
      </c>
      <c r="I63" s="15">
        <v>5</v>
      </c>
      <c r="J63" s="17">
        <v>12000</v>
      </c>
      <c r="K63" s="18">
        <v>0</v>
      </c>
      <c r="L63" s="17">
        <v>60000</v>
      </c>
      <c r="M63" s="15" t="s">
        <v>30</v>
      </c>
      <c r="N63" s="15" t="s">
        <v>36</v>
      </c>
    </row>
    <row r="64" spans="1:14" x14ac:dyDescent="0.3">
      <c r="A64" s="15">
        <v>1063</v>
      </c>
      <c r="B64" s="16">
        <v>45778</v>
      </c>
      <c r="C64" s="15" t="s">
        <v>53</v>
      </c>
      <c r="D64" s="15" t="s">
        <v>54</v>
      </c>
      <c r="E64" s="15" t="s">
        <v>55</v>
      </c>
      <c r="F64" s="15" t="s">
        <v>27</v>
      </c>
      <c r="G64" s="15" t="s">
        <v>42</v>
      </c>
      <c r="H64" s="15" t="s">
        <v>60</v>
      </c>
      <c r="I64" s="15">
        <v>2</v>
      </c>
      <c r="J64" s="17">
        <v>12000</v>
      </c>
      <c r="K64" s="18">
        <v>0.05</v>
      </c>
      <c r="L64" s="17">
        <v>22800</v>
      </c>
      <c r="M64" s="15" t="s">
        <v>20</v>
      </c>
      <c r="N64" s="15" t="s">
        <v>36</v>
      </c>
    </row>
    <row r="65" spans="1:14" x14ac:dyDescent="0.3">
      <c r="A65" s="15">
        <v>1064</v>
      </c>
      <c r="B65" s="16">
        <v>46013</v>
      </c>
      <c r="C65" s="15" t="s">
        <v>45</v>
      </c>
      <c r="D65" s="15" t="s">
        <v>46</v>
      </c>
      <c r="E65" s="15" t="s">
        <v>16</v>
      </c>
      <c r="F65" s="15" t="s">
        <v>17</v>
      </c>
      <c r="G65" s="15" t="s">
        <v>37</v>
      </c>
      <c r="H65" s="15" t="s">
        <v>72</v>
      </c>
      <c r="I65" s="15">
        <v>4</v>
      </c>
      <c r="J65" s="17">
        <v>22000</v>
      </c>
      <c r="K65" s="18">
        <v>0.1</v>
      </c>
      <c r="L65" s="17">
        <v>79200</v>
      </c>
      <c r="M65" s="15" t="s">
        <v>20</v>
      </c>
      <c r="N65" s="15" t="s">
        <v>31</v>
      </c>
    </row>
    <row r="66" spans="1:14" x14ac:dyDescent="0.3">
      <c r="A66" s="15">
        <v>1065</v>
      </c>
      <c r="B66" s="16">
        <v>45896</v>
      </c>
      <c r="C66" s="15" t="s">
        <v>68</v>
      </c>
      <c r="D66" s="15" t="s">
        <v>69</v>
      </c>
      <c r="E66" s="15" t="s">
        <v>16</v>
      </c>
      <c r="F66" s="15" t="s">
        <v>41</v>
      </c>
      <c r="G66" s="15" t="s">
        <v>28</v>
      </c>
      <c r="H66" s="15" t="s">
        <v>72</v>
      </c>
      <c r="I66" s="15">
        <v>6</v>
      </c>
      <c r="J66" s="17">
        <v>15000</v>
      </c>
      <c r="K66" s="18">
        <v>0.15</v>
      </c>
      <c r="L66" s="17">
        <v>76500</v>
      </c>
      <c r="M66" s="15" t="s">
        <v>35</v>
      </c>
      <c r="N66" s="15" t="s">
        <v>31</v>
      </c>
    </row>
    <row r="67" spans="1:14" x14ac:dyDescent="0.3">
      <c r="A67" s="15">
        <v>1066</v>
      </c>
      <c r="B67" s="16">
        <v>45852</v>
      </c>
      <c r="C67" s="15" t="s">
        <v>70</v>
      </c>
      <c r="D67" s="15" t="s">
        <v>71</v>
      </c>
      <c r="E67" s="15" t="s">
        <v>52</v>
      </c>
      <c r="F67" s="15" t="s">
        <v>41</v>
      </c>
      <c r="G67" s="15" t="s">
        <v>28</v>
      </c>
      <c r="H67" s="15" t="s">
        <v>75</v>
      </c>
      <c r="I67" s="15">
        <v>1</v>
      </c>
      <c r="J67" s="17">
        <v>11000</v>
      </c>
      <c r="K67" s="18">
        <v>0.15</v>
      </c>
      <c r="L67" s="17">
        <v>9350</v>
      </c>
      <c r="M67" s="15" t="s">
        <v>43</v>
      </c>
      <c r="N67" s="15" t="s">
        <v>31</v>
      </c>
    </row>
    <row r="68" spans="1:14" x14ac:dyDescent="0.3">
      <c r="A68" s="15">
        <v>1067</v>
      </c>
      <c r="B68" s="16">
        <v>45770</v>
      </c>
      <c r="C68" s="15" t="s">
        <v>68</v>
      </c>
      <c r="D68" s="15" t="s">
        <v>69</v>
      </c>
      <c r="E68" s="15" t="s">
        <v>16</v>
      </c>
      <c r="F68" s="15" t="s">
        <v>27</v>
      </c>
      <c r="G68" s="15" t="s">
        <v>58</v>
      </c>
      <c r="H68" s="15" t="s">
        <v>62</v>
      </c>
      <c r="I68" s="15">
        <v>4</v>
      </c>
      <c r="J68" s="17">
        <v>15000</v>
      </c>
      <c r="K68" s="18">
        <v>0.1</v>
      </c>
      <c r="L68" s="17">
        <v>54000</v>
      </c>
      <c r="M68" s="15" t="s">
        <v>20</v>
      </c>
      <c r="N68" s="15" t="s">
        <v>31</v>
      </c>
    </row>
    <row r="69" spans="1:14" x14ac:dyDescent="0.3">
      <c r="A69" s="15">
        <v>1068</v>
      </c>
      <c r="B69" s="16">
        <v>45897</v>
      </c>
      <c r="C69" s="15" t="s">
        <v>32</v>
      </c>
      <c r="D69" s="15" t="s">
        <v>33</v>
      </c>
      <c r="E69" s="15" t="s">
        <v>26</v>
      </c>
      <c r="F69" s="15" t="s">
        <v>17</v>
      </c>
      <c r="G69" s="15" t="s">
        <v>57</v>
      </c>
      <c r="H69" s="15" t="s">
        <v>78</v>
      </c>
      <c r="I69" s="15">
        <v>7</v>
      </c>
      <c r="J69" s="15">
        <v>800</v>
      </c>
      <c r="K69" s="18">
        <v>0</v>
      </c>
      <c r="L69" s="17">
        <v>5600</v>
      </c>
      <c r="M69" s="15" t="s">
        <v>20</v>
      </c>
      <c r="N69" s="15" t="s">
        <v>31</v>
      </c>
    </row>
    <row r="70" spans="1:14" x14ac:dyDescent="0.3">
      <c r="A70" s="15">
        <v>1069</v>
      </c>
      <c r="B70" s="16">
        <v>45987</v>
      </c>
      <c r="C70" s="15" t="s">
        <v>70</v>
      </c>
      <c r="D70" s="15" t="s">
        <v>71</v>
      </c>
      <c r="E70" s="15" t="s">
        <v>52</v>
      </c>
      <c r="F70" s="15" t="s">
        <v>41</v>
      </c>
      <c r="G70" s="15" t="s">
        <v>18</v>
      </c>
      <c r="H70" s="15" t="s">
        <v>76</v>
      </c>
      <c r="I70" s="15">
        <v>1</v>
      </c>
      <c r="J70" s="17">
        <v>11000</v>
      </c>
      <c r="K70" s="18">
        <v>0</v>
      </c>
      <c r="L70" s="17">
        <v>11000</v>
      </c>
      <c r="M70" s="15" t="s">
        <v>35</v>
      </c>
      <c r="N70" s="15" t="s">
        <v>36</v>
      </c>
    </row>
    <row r="71" spans="1:14" x14ac:dyDescent="0.3">
      <c r="A71" s="15">
        <v>1070</v>
      </c>
      <c r="B71" s="16">
        <v>45825</v>
      </c>
      <c r="C71" s="15" t="s">
        <v>47</v>
      </c>
      <c r="D71" s="15" t="s">
        <v>48</v>
      </c>
      <c r="E71" s="15" t="s">
        <v>16</v>
      </c>
      <c r="F71" s="15" t="s">
        <v>17</v>
      </c>
      <c r="G71" s="15" t="s">
        <v>58</v>
      </c>
      <c r="H71" s="15" t="s">
        <v>60</v>
      </c>
      <c r="I71" s="15">
        <v>5</v>
      </c>
      <c r="J71" s="17">
        <v>55000</v>
      </c>
      <c r="K71" s="18">
        <v>0.1</v>
      </c>
      <c r="L71" s="17">
        <v>247500</v>
      </c>
      <c r="M71" s="15" t="s">
        <v>43</v>
      </c>
      <c r="N71" s="15" t="s">
        <v>31</v>
      </c>
    </row>
    <row r="72" spans="1:14" x14ac:dyDescent="0.3">
      <c r="A72" s="15">
        <v>1071</v>
      </c>
      <c r="B72" s="16">
        <v>45699</v>
      </c>
      <c r="C72" s="15" t="s">
        <v>39</v>
      </c>
      <c r="D72" s="15" t="s">
        <v>40</v>
      </c>
      <c r="E72" s="15" t="s">
        <v>26</v>
      </c>
      <c r="F72" s="15" t="s">
        <v>41</v>
      </c>
      <c r="G72" s="15" t="s">
        <v>28</v>
      </c>
      <c r="H72" s="15" t="s">
        <v>19</v>
      </c>
      <c r="I72" s="15">
        <v>7</v>
      </c>
      <c r="J72" s="17">
        <v>1200</v>
      </c>
      <c r="K72" s="18">
        <v>0.05</v>
      </c>
      <c r="L72" s="17">
        <v>7980</v>
      </c>
      <c r="M72" s="15" t="s">
        <v>20</v>
      </c>
      <c r="N72" s="15" t="s">
        <v>36</v>
      </c>
    </row>
    <row r="73" spans="1:14" x14ac:dyDescent="0.3">
      <c r="A73" s="15">
        <v>1072</v>
      </c>
      <c r="B73" s="16">
        <v>45673</v>
      </c>
      <c r="C73" s="15" t="s">
        <v>24</v>
      </c>
      <c r="D73" s="15" t="s">
        <v>25</v>
      </c>
      <c r="E73" s="15" t="s">
        <v>26</v>
      </c>
      <c r="F73" s="15" t="s">
        <v>17</v>
      </c>
      <c r="G73" s="15" t="s">
        <v>18</v>
      </c>
      <c r="H73" s="15" t="s">
        <v>73</v>
      </c>
      <c r="I73" s="15">
        <v>2</v>
      </c>
      <c r="J73" s="17">
        <v>2500</v>
      </c>
      <c r="K73" s="18">
        <v>0</v>
      </c>
      <c r="L73" s="17">
        <v>5000</v>
      </c>
      <c r="M73" s="15" t="s">
        <v>20</v>
      </c>
      <c r="N73" s="15" t="s">
        <v>21</v>
      </c>
    </row>
    <row r="74" spans="1:14" x14ac:dyDescent="0.3">
      <c r="A74" s="15">
        <v>1073</v>
      </c>
      <c r="B74" s="16">
        <v>45900</v>
      </c>
      <c r="C74" s="15" t="s">
        <v>45</v>
      </c>
      <c r="D74" s="15" t="s">
        <v>46</v>
      </c>
      <c r="E74" s="15" t="s">
        <v>16</v>
      </c>
      <c r="F74" s="15" t="s">
        <v>22</v>
      </c>
      <c r="G74" s="15" t="s">
        <v>57</v>
      </c>
      <c r="H74" s="15" t="s">
        <v>72</v>
      </c>
      <c r="I74" s="15">
        <v>4</v>
      </c>
      <c r="J74" s="17">
        <v>22000</v>
      </c>
      <c r="K74" s="18">
        <v>0</v>
      </c>
      <c r="L74" s="17">
        <v>88000</v>
      </c>
      <c r="M74" s="15" t="s">
        <v>35</v>
      </c>
      <c r="N74" s="15" t="s">
        <v>36</v>
      </c>
    </row>
    <row r="75" spans="1:14" x14ac:dyDescent="0.3">
      <c r="A75" s="15">
        <v>1074</v>
      </c>
      <c r="B75" s="16">
        <v>45968</v>
      </c>
      <c r="C75" s="15" t="s">
        <v>32</v>
      </c>
      <c r="D75" s="15" t="s">
        <v>33</v>
      </c>
      <c r="E75" s="15" t="s">
        <v>26</v>
      </c>
      <c r="F75" s="15" t="s">
        <v>22</v>
      </c>
      <c r="G75" s="15" t="s">
        <v>18</v>
      </c>
      <c r="H75" s="15" t="s">
        <v>63</v>
      </c>
      <c r="I75" s="15">
        <v>3</v>
      </c>
      <c r="J75" s="15">
        <v>800</v>
      </c>
      <c r="K75" s="18">
        <v>0.15</v>
      </c>
      <c r="L75" s="17">
        <v>2040</v>
      </c>
      <c r="M75" s="15" t="s">
        <v>20</v>
      </c>
      <c r="N75" s="15" t="s">
        <v>21</v>
      </c>
    </row>
    <row r="76" spans="1:14" x14ac:dyDescent="0.3">
      <c r="A76" s="15">
        <v>1075</v>
      </c>
      <c r="B76" s="16">
        <v>46004</v>
      </c>
      <c r="C76" s="15" t="s">
        <v>47</v>
      </c>
      <c r="D76" s="15" t="s">
        <v>48</v>
      </c>
      <c r="E76" s="15" t="s">
        <v>16</v>
      </c>
      <c r="F76" s="15" t="s">
        <v>41</v>
      </c>
      <c r="G76" s="15" t="s">
        <v>58</v>
      </c>
      <c r="H76" s="15" t="s">
        <v>64</v>
      </c>
      <c r="I76" s="15">
        <v>5</v>
      </c>
      <c r="J76" s="17">
        <v>55000</v>
      </c>
      <c r="K76" s="18">
        <v>0.15</v>
      </c>
      <c r="L76" s="17">
        <v>233750</v>
      </c>
      <c r="M76" s="15" t="s">
        <v>30</v>
      </c>
      <c r="N76" s="15" t="s">
        <v>36</v>
      </c>
    </row>
    <row r="77" spans="1:14" x14ac:dyDescent="0.3">
      <c r="A77" s="15">
        <v>1076</v>
      </c>
      <c r="B77" s="16">
        <v>46014</v>
      </c>
      <c r="C77" s="15" t="s">
        <v>70</v>
      </c>
      <c r="D77" s="15" t="s">
        <v>71</v>
      </c>
      <c r="E77" s="15" t="s">
        <v>52</v>
      </c>
      <c r="F77" s="15" t="s">
        <v>27</v>
      </c>
      <c r="G77" s="15" t="s">
        <v>37</v>
      </c>
      <c r="H77" s="15" t="s">
        <v>80</v>
      </c>
      <c r="I77" s="15">
        <v>4</v>
      </c>
      <c r="J77" s="17">
        <v>11000</v>
      </c>
      <c r="K77" s="18">
        <v>0</v>
      </c>
      <c r="L77" s="17">
        <v>44000</v>
      </c>
      <c r="M77" s="15" t="s">
        <v>20</v>
      </c>
      <c r="N77" s="15" t="s">
        <v>21</v>
      </c>
    </row>
    <row r="78" spans="1:14" x14ac:dyDescent="0.3">
      <c r="A78" s="15">
        <v>1077</v>
      </c>
      <c r="B78" s="16">
        <v>45877</v>
      </c>
      <c r="C78" s="15" t="s">
        <v>47</v>
      </c>
      <c r="D78" s="15" t="s">
        <v>48</v>
      </c>
      <c r="E78" s="15" t="s">
        <v>16</v>
      </c>
      <c r="F78" s="15" t="s">
        <v>27</v>
      </c>
      <c r="G78" s="15" t="s">
        <v>28</v>
      </c>
      <c r="H78" s="15" t="s">
        <v>59</v>
      </c>
      <c r="I78" s="15">
        <v>6</v>
      </c>
      <c r="J78" s="17">
        <v>55000</v>
      </c>
      <c r="K78" s="18">
        <v>0.15</v>
      </c>
      <c r="L78" s="17">
        <v>280500</v>
      </c>
      <c r="M78" s="15" t="s">
        <v>43</v>
      </c>
      <c r="N78" s="15" t="s">
        <v>36</v>
      </c>
    </row>
    <row r="79" spans="1:14" x14ac:dyDescent="0.3">
      <c r="A79" s="15">
        <v>1078</v>
      </c>
      <c r="B79" s="16">
        <v>45879</v>
      </c>
      <c r="C79" s="15" t="s">
        <v>68</v>
      </c>
      <c r="D79" s="15" t="s">
        <v>69</v>
      </c>
      <c r="E79" s="15" t="s">
        <v>16</v>
      </c>
      <c r="F79" s="15" t="s">
        <v>27</v>
      </c>
      <c r="G79" s="15" t="s">
        <v>37</v>
      </c>
      <c r="H79" s="15" t="s">
        <v>61</v>
      </c>
      <c r="I79" s="15">
        <v>8</v>
      </c>
      <c r="J79" s="17">
        <v>15000</v>
      </c>
      <c r="K79" s="18">
        <v>0</v>
      </c>
      <c r="L79" s="17">
        <v>120000</v>
      </c>
      <c r="M79" s="15" t="s">
        <v>35</v>
      </c>
      <c r="N79" s="15" t="s">
        <v>36</v>
      </c>
    </row>
    <row r="80" spans="1:14" x14ac:dyDescent="0.3">
      <c r="A80" s="15">
        <v>1079</v>
      </c>
      <c r="B80" s="16">
        <v>45991</v>
      </c>
      <c r="C80" s="15" t="s">
        <v>68</v>
      </c>
      <c r="D80" s="15" t="s">
        <v>69</v>
      </c>
      <c r="E80" s="15" t="s">
        <v>16</v>
      </c>
      <c r="F80" s="15" t="s">
        <v>27</v>
      </c>
      <c r="G80" s="15" t="s">
        <v>57</v>
      </c>
      <c r="H80" s="15" t="s">
        <v>66</v>
      </c>
      <c r="I80" s="15">
        <v>3</v>
      </c>
      <c r="J80" s="17">
        <v>15000</v>
      </c>
      <c r="K80" s="18">
        <v>0.15</v>
      </c>
      <c r="L80" s="17">
        <v>38250</v>
      </c>
      <c r="M80" s="15" t="s">
        <v>35</v>
      </c>
      <c r="N80" s="15" t="s">
        <v>31</v>
      </c>
    </row>
    <row r="81" spans="1:14" x14ac:dyDescent="0.3">
      <c r="A81" s="15">
        <v>1080</v>
      </c>
      <c r="B81" s="16">
        <v>45783</v>
      </c>
      <c r="C81" s="15" t="s">
        <v>68</v>
      </c>
      <c r="D81" s="15" t="s">
        <v>69</v>
      </c>
      <c r="E81" s="15" t="s">
        <v>16</v>
      </c>
      <c r="F81" s="15" t="s">
        <v>22</v>
      </c>
      <c r="G81" s="15" t="s">
        <v>42</v>
      </c>
      <c r="H81" s="15" t="s">
        <v>61</v>
      </c>
      <c r="I81" s="15">
        <v>5</v>
      </c>
      <c r="J81" s="17">
        <v>15000</v>
      </c>
      <c r="K81" s="18">
        <v>0.05</v>
      </c>
      <c r="L81" s="17">
        <v>71250</v>
      </c>
      <c r="M81" s="15" t="s">
        <v>35</v>
      </c>
      <c r="N81" s="15" t="s">
        <v>36</v>
      </c>
    </row>
    <row r="82" spans="1:14" x14ac:dyDescent="0.3">
      <c r="A82" s="15">
        <v>1081</v>
      </c>
      <c r="B82" s="16">
        <v>45672</v>
      </c>
      <c r="C82" s="15" t="s">
        <v>53</v>
      </c>
      <c r="D82" s="15" t="s">
        <v>54</v>
      </c>
      <c r="E82" s="15" t="s">
        <v>55</v>
      </c>
      <c r="F82" s="15" t="s">
        <v>41</v>
      </c>
      <c r="G82" s="15" t="s">
        <v>42</v>
      </c>
      <c r="H82" s="15" t="s">
        <v>56</v>
      </c>
      <c r="I82" s="15">
        <v>7</v>
      </c>
      <c r="J82" s="17">
        <v>12000</v>
      </c>
      <c r="K82" s="18">
        <v>0.05</v>
      </c>
      <c r="L82" s="17">
        <v>79800</v>
      </c>
      <c r="M82" s="15" t="s">
        <v>35</v>
      </c>
      <c r="N82" s="15" t="s">
        <v>36</v>
      </c>
    </row>
    <row r="83" spans="1:14" x14ac:dyDescent="0.3">
      <c r="A83" s="15">
        <v>1082</v>
      </c>
      <c r="B83" s="16">
        <v>45801</v>
      </c>
      <c r="C83" s="15" t="s">
        <v>32</v>
      </c>
      <c r="D83" s="15" t="s">
        <v>33</v>
      </c>
      <c r="E83" s="15" t="s">
        <v>26</v>
      </c>
      <c r="F83" s="15" t="s">
        <v>27</v>
      </c>
      <c r="G83" s="15" t="s">
        <v>57</v>
      </c>
      <c r="H83" s="15" t="s">
        <v>81</v>
      </c>
      <c r="I83" s="15">
        <v>5</v>
      </c>
      <c r="J83" s="15">
        <v>800</v>
      </c>
      <c r="K83" s="18">
        <v>0.05</v>
      </c>
      <c r="L83" s="17">
        <v>3800</v>
      </c>
      <c r="M83" s="15" t="s">
        <v>30</v>
      </c>
      <c r="N83" s="15" t="s">
        <v>36</v>
      </c>
    </row>
    <row r="84" spans="1:14" x14ac:dyDescent="0.3">
      <c r="A84" s="15">
        <v>1083</v>
      </c>
      <c r="B84" s="16">
        <v>45942</v>
      </c>
      <c r="C84" s="15" t="s">
        <v>24</v>
      </c>
      <c r="D84" s="15" t="s">
        <v>25</v>
      </c>
      <c r="E84" s="15" t="s">
        <v>26</v>
      </c>
      <c r="F84" s="15" t="s">
        <v>17</v>
      </c>
      <c r="G84" s="15" t="s">
        <v>37</v>
      </c>
      <c r="H84" s="15" t="s">
        <v>62</v>
      </c>
      <c r="I84" s="15">
        <v>7</v>
      </c>
      <c r="J84" s="17">
        <v>2500</v>
      </c>
      <c r="K84" s="18">
        <v>0.1</v>
      </c>
      <c r="L84" s="17">
        <v>15750</v>
      </c>
      <c r="M84" s="15" t="s">
        <v>35</v>
      </c>
      <c r="N84" s="15" t="s">
        <v>31</v>
      </c>
    </row>
    <row r="85" spans="1:14" x14ac:dyDescent="0.3">
      <c r="A85" s="15">
        <v>1084</v>
      </c>
      <c r="B85" s="16">
        <v>45771</v>
      </c>
      <c r="C85" s="15" t="s">
        <v>47</v>
      </c>
      <c r="D85" s="15" t="s">
        <v>48</v>
      </c>
      <c r="E85" s="15" t="s">
        <v>16</v>
      </c>
      <c r="F85" s="15" t="s">
        <v>41</v>
      </c>
      <c r="G85" s="15" t="s">
        <v>37</v>
      </c>
      <c r="H85" s="15" t="s">
        <v>23</v>
      </c>
      <c r="I85" s="15">
        <v>2</v>
      </c>
      <c r="J85" s="17">
        <v>55000</v>
      </c>
      <c r="K85" s="18">
        <v>0.05</v>
      </c>
      <c r="L85" s="17">
        <v>104500</v>
      </c>
      <c r="M85" s="15" t="s">
        <v>43</v>
      </c>
      <c r="N85" s="15" t="s">
        <v>21</v>
      </c>
    </row>
    <row r="86" spans="1:14" x14ac:dyDescent="0.3">
      <c r="A86" s="15">
        <v>1085</v>
      </c>
      <c r="B86" s="16">
        <v>45929</v>
      </c>
      <c r="C86" s="15" t="s">
        <v>32</v>
      </c>
      <c r="D86" s="15" t="s">
        <v>33</v>
      </c>
      <c r="E86" s="15" t="s">
        <v>26</v>
      </c>
      <c r="F86" s="15" t="s">
        <v>27</v>
      </c>
      <c r="G86" s="15" t="s">
        <v>58</v>
      </c>
      <c r="H86" s="15" t="s">
        <v>19</v>
      </c>
      <c r="I86" s="15">
        <v>8</v>
      </c>
      <c r="J86" s="15">
        <v>800</v>
      </c>
      <c r="K86" s="18">
        <v>0.15</v>
      </c>
      <c r="L86" s="17">
        <v>5440</v>
      </c>
      <c r="M86" s="15" t="s">
        <v>43</v>
      </c>
      <c r="N86" s="15" t="s">
        <v>36</v>
      </c>
    </row>
    <row r="87" spans="1:14" x14ac:dyDescent="0.3">
      <c r="A87" s="15">
        <v>1086</v>
      </c>
      <c r="B87" s="16">
        <v>45786</v>
      </c>
      <c r="C87" s="15" t="s">
        <v>53</v>
      </c>
      <c r="D87" s="15" t="s">
        <v>54</v>
      </c>
      <c r="E87" s="15" t="s">
        <v>55</v>
      </c>
      <c r="F87" s="15" t="s">
        <v>17</v>
      </c>
      <c r="G87" s="15" t="s">
        <v>28</v>
      </c>
      <c r="H87" s="15" t="s">
        <v>19</v>
      </c>
      <c r="I87" s="15">
        <v>5</v>
      </c>
      <c r="J87" s="17">
        <v>12000</v>
      </c>
      <c r="K87" s="18">
        <v>0.05</v>
      </c>
      <c r="L87" s="17">
        <v>57000</v>
      </c>
      <c r="M87" s="15" t="s">
        <v>30</v>
      </c>
      <c r="N87" s="15" t="s">
        <v>36</v>
      </c>
    </row>
    <row r="88" spans="1:14" x14ac:dyDescent="0.3">
      <c r="A88" s="15">
        <v>1087</v>
      </c>
      <c r="B88" s="16">
        <v>45768</v>
      </c>
      <c r="C88" s="15" t="s">
        <v>14</v>
      </c>
      <c r="D88" s="15" t="s">
        <v>15</v>
      </c>
      <c r="E88" s="15" t="s">
        <v>16</v>
      </c>
      <c r="F88" s="15" t="s">
        <v>41</v>
      </c>
      <c r="G88" s="15" t="s">
        <v>42</v>
      </c>
      <c r="H88" s="15" t="s">
        <v>19</v>
      </c>
      <c r="I88" s="15">
        <v>3</v>
      </c>
      <c r="J88" s="17">
        <v>28000</v>
      </c>
      <c r="K88" s="18">
        <v>0</v>
      </c>
      <c r="L88" s="17">
        <v>84000</v>
      </c>
      <c r="M88" s="15" t="s">
        <v>43</v>
      </c>
      <c r="N88" s="15" t="s">
        <v>36</v>
      </c>
    </row>
    <row r="89" spans="1:14" x14ac:dyDescent="0.3">
      <c r="A89" s="15">
        <v>1088</v>
      </c>
      <c r="B89" s="16">
        <v>45842</v>
      </c>
      <c r="C89" s="15" t="s">
        <v>24</v>
      </c>
      <c r="D89" s="15" t="s">
        <v>25</v>
      </c>
      <c r="E89" s="15" t="s">
        <v>26</v>
      </c>
      <c r="F89" s="15" t="s">
        <v>17</v>
      </c>
      <c r="G89" s="15" t="s">
        <v>42</v>
      </c>
      <c r="H89" s="15" t="s">
        <v>81</v>
      </c>
      <c r="I89" s="15">
        <v>5</v>
      </c>
      <c r="J89" s="17">
        <v>2500</v>
      </c>
      <c r="K89" s="18">
        <v>0</v>
      </c>
      <c r="L89" s="17">
        <v>12500</v>
      </c>
      <c r="M89" s="15" t="s">
        <v>30</v>
      </c>
      <c r="N89" s="15" t="s">
        <v>36</v>
      </c>
    </row>
    <row r="90" spans="1:14" x14ac:dyDescent="0.3">
      <c r="A90" s="15">
        <v>1089</v>
      </c>
      <c r="B90" s="16">
        <v>45807</v>
      </c>
      <c r="C90" s="15" t="s">
        <v>47</v>
      </c>
      <c r="D90" s="15" t="s">
        <v>48</v>
      </c>
      <c r="E90" s="15" t="s">
        <v>16</v>
      </c>
      <c r="F90" s="15" t="s">
        <v>17</v>
      </c>
      <c r="G90" s="15" t="s">
        <v>37</v>
      </c>
      <c r="H90" s="15" t="s">
        <v>82</v>
      </c>
      <c r="I90" s="15">
        <v>1</v>
      </c>
      <c r="J90" s="17">
        <v>55000</v>
      </c>
      <c r="K90" s="18">
        <v>0.15</v>
      </c>
      <c r="L90" s="17">
        <v>46750</v>
      </c>
      <c r="M90" s="15" t="s">
        <v>35</v>
      </c>
      <c r="N90" s="15" t="s">
        <v>36</v>
      </c>
    </row>
    <row r="91" spans="1:14" x14ac:dyDescent="0.3">
      <c r="A91" s="15">
        <v>1090</v>
      </c>
      <c r="B91" s="16">
        <v>45903</v>
      </c>
      <c r="C91" s="15" t="s">
        <v>47</v>
      </c>
      <c r="D91" s="15" t="s">
        <v>48</v>
      </c>
      <c r="E91" s="15" t="s">
        <v>16</v>
      </c>
      <c r="F91" s="15" t="s">
        <v>41</v>
      </c>
      <c r="G91" s="15" t="s">
        <v>42</v>
      </c>
      <c r="H91" s="15" t="s">
        <v>56</v>
      </c>
      <c r="I91" s="15">
        <v>5</v>
      </c>
      <c r="J91" s="17">
        <v>55000</v>
      </c>
      <c r="K91" s="18">
        <v>0.1</v>
      </c>
      <c r="L91" s="17">
        <v>247500</v>
      </c>
      <c r="M91" s="15" t="s">
        <v>20</v>
      </c>
      <c r="N91" s="15" t="s">
        <v>36</v>
      </c>
    </row>
    <row r="92" spans="1:14" x14ac:dyDescent="0.3">
      <c r="A92" s="15">
        <v>1091</v>
      </c>
      <c r="B92" s="16">
        <v>45863</v>
      </c>
      <c r="C92" s="15" t="s">
        <v>53</v>
      </c>
      <c r="D92" s="15" t="s">
        <v>54</v>
      </c>
      <c r="E92" s="15" t="s">
        <v>55</v>
      </c>
      <c r="F92" s="15" t="s">
        <v>41</v>
      </c>
      <c r="G92" s="15" t="s">
        <v>28</v>
      </c>
      <c r="H92" s="15" t="s">
        <v>83</v>
      </c>
      <c r="I92" s="15">
        <v>2</v>
      </c>
      <c r="J92" s="17">
        <v>12000</v>
      </c>
      <c r="K92" s="18">
        <v>0</v>
      </c>
      <c r="L92" s="17">
        <v>24000</v>
      </c>
      <c r="M92" s="15" t="s">
        <v>20</v>
      </c>
      <c r="N92" s="15" t="s">
        <v>36</v>
      </c>
    </row>
    <row r="93" spans="1:14" x14ac:dyDescent="0.3">
      <c r="A93" s="15">
        <v>1092</v>
      </c>
      <c r="B93" s="16">
        <v>45785</v>
      </c>
      <c r="C93" s="15" t="s">
        <v>45</v>
      </c>
      <c r="D93" s="15" t="s">
        <v>46</v>
      </c>
      <c r="E93" s="15" t="s">
        <v>16</v>
      </c>
      <c r="F93" s="15" t="s">
        <v>22</v>
      </c>
      <c r="G93" s="15" t="s">
        <v>57</v>
      </c>
      <c r="H93" s="15" t="s">
        <v>29</v>
      </c>
      <c r="I93" s="15">
        <v>5</v>
      </c>
      <c r="J93" s="17">
        <v>22000</v>
      </c>
      <c r="K93" s="18">
        <v>0</v>
      </c>
      <c r="L93" s="17">
        <v>110000</v>
      </c>
      <c r="M93" s="15" t="s">
        <v>35</v>
      </c>
      <c r="N93" s="15" t="s">
        <v>21</v>
      </c>
    </row>
    <row r="94" spans="1:14" x14ac:dyDescent="0.3">
      <c r="A94" s="15">
        <v>1093</v>
      </c>
      <c r="B94" s="16">
        <v>45852</v>
      </c>
      <c r="C94" s="15" t="s">
        <v>70</v>
      </c>
      <c r="D94" s="15" t="s">
        <v>71</v>
      </c>
      <c r="E94" s="15" t="s">
        <v>52</v>
      </c>
      <c r="F94" s="15" t="s">
        <v>41</v>
      </c>
      <c r="G94" s="15" t="s">
        <v>58</v>
      </c>
      <c r="H94" s="15" t="s">
        <v>63</v>
      </c>
      <c r="I94" s="15">
        <v>4</v>
      </c>
      <c r="J94" s="17">
        <v>11000</v>
      </c>
      <c r="K94" s="18">
        <v>0.15</v>
      </c>
      <c r="L94" s="17">
        <v>37400</v>
      </c>
      <c r="M94" s="15" t="s">
        <v>35</v>
      </c>
      <c r="N94" s="15" t="s">
        <v>36</v>
      </c>
    </row>
    <row r="95" spans="1:14" x14ac:dyDescent="0.3">
      <c r="A95" s="15">
        <v>1094</v>
      </c>
      <c r="B95" s="16">
        <v>45708</v>
      </c>
      <c r="C95" s="15" t="s">
        <v>70</v>
      </c>
      <c r="D95" s="15" t="s">
        <v>71</v>
      </c>
      <c r="E95" s="15" t="s">
        <v>52</v>
      </c>
      <c r="F95" s="15" t="s">
        <v>17</v>
      </c>
      <c r="G95" s="15" t="s">
        <v>37</v>
      </c>
      <c r="H95" s="15" t="s">
        <v>72</v>
      </c>
      <c r="I95" s="15">
        <v>1</v>
      </c>
      <c r="J95" s="17">
        <v>11000</v>
      </c>
      <c r="K95" s="18">
        <v>0.15</v>
      </c>
      <c r="L95" s="17">
        <v>9350</v>
      </c>
      <c r="M95" s="15" t="s">
        <v>43</v>
      </c>
      <c r="N95" s="15" t="s">
        <v>36</v>
      </c>
    </row>
    <row r="96" spans="1:14" x14ac:dyDescent="0.3">
      <c r="A96" s="15">
        <v>1095</v>
      </c>
      <c r="B96" s="16">
        <v>45940</v>
      </c>
      <c r="C96" s="15" t="s">
        <v>45</v>
      </c>
      <c r="D96" s="15" t="s">
        <v>46</v>
      </c>
      <c r="E96" s="15" t="s">
        <v>16</v>
      </c>
      <c r="F96" s="15" t="s">
        <v>22</v>
      </c>
      <c r="G96" s="15" t="s">
        <v>18</v>
      </c>
      <c r="H96" s="15" t="s">
        <v>81</v>
      </c>
      <c r="I96" s="15">
        <v>4</v>
      </c>
      <c r="J96" s="17">
        <v>22000</v>
      </c>
      <c r="K96" s="18">
        <v>0</v>
      </c>
      <c r="L96" s="17">
        <v>88000</v>
      </c>
      <c r="M96" s="15" t="s">
        <v>35</v>
      </c>
      <c r="N96" s="15" t="s">
        <v>31</v>
      </c>
    </row>
    <row r="97" spans="1:14" x14ac:dyDescent="0.3">
      <c r="A97" s="15">
        <v>1096</v>
      </c>
      <c r="B97" s="16">
        <v>45674</v>
      </c>
      <c r="C97" s="15" t="s">
        <v>70</v>
      </c>
      <c r="D97" s="15" t="s">
        <v>71</v>
      </c>
      <c r="E97" s="15" t="s">
        <v>52</v>
      </c>
      <c r="F97" s="15" t="s">
        <v>17</v>
      </c>
      <c r="G97" s="15" t="s">
        <v>42</v>
      </c>
      <c r="H97" s="15" t="s">
        <v>64</v>
      </c>
      <c r="I97" s="15">
        <v>8</v>
      </c>
      <c r="J97" s="17">
        <v>11000</v>
      </c>
      <c r="K97" s="18">
        <v>0.05</v>
      </c>
      <c r="L97" s="17">
        <v>83600</v>
      </c>
      <c r="M97" s="15" t="s">
        <v>43</v>
      </c>
      <c r="N97" s="15" t="s">
        <v>31</v>
      </c>
    </row>
    <row r="98" spans="1:14" x14ac:dyDescent="0.3">
      <c r="A98" s="15">
        <v>1097</v>
      </c>
      <c r="B98" s="16">
        <v>45978</v>
      </c>
      <c r="C98" s="15" t="s">
        <v>14</v>
      </c>
      <c r="D98" s="15" t="s">
        <v>15</v>
      </c>
      <c r="E98" s="15" t="s">
        <v>16</v>
      </c>
      <c r="F98" s="15" t="s">
        <v>17</v>
      </c>
      <c r="G98" s="15" t="s">
        <v>58</v>
      </c>
      <c r="H98" s="15" t="s">
        <v>84</v>
      </c>
      <c r="I98" s="15">
        <v>4</v>
      </c>
      <c r="J98" s="17">
        <v>28000</v>
      </c>
      <c r="K98" s="18">
        <v>0.05</v>
      </c>
      <c r="L98" s="17">
        <v>106400</v>
      </c>
      <c r="M98" s="15" t="s">
        <v>30</v>
      </c>
      <c r="N98" s="15" t="s">
        <v>36</v>
      </c>
    </row>
    <row r="99" spans="1:14" x14ac:dyDescent="0.3">
      <c r="A99" s="15">
        <v>1098</v>
      </c>
      <c r="B99" s="16">
        <v>45688</v>
      </c>
      <c r="C99" s="15" t="s">
        <v>39</v>
      </c>
      <c r="D99" s="15" t="s">
        <v>40</v>
      </c>
      <c r="E99" s="15" t="s">
        <v>26</v>
      </c>
      <c r="F99" s="15" t="s">
        <v>17</v>
      </c>
      <c r="G99" s="15" t="s">
        <v>42</v>
      </c>
      <c r="H99" s="15" t="s">
        <v>80</v>
      </c>
      <c r="I99" s="15">
        <v>3</v>
      </c>
      <c r="J99" s="17">
        <v>1200</v>
      </c>
      <c r="K99" s="18">
        <v>0</v>
      </c>
      <c r="L99" s="17">
        <v>3600</v>
      </c>
      <c r="M99" s="15" t="s">
        <v>43</v>
      </c>
      <c r="N99" s="15" t="s">
        <v>31</v>
      </c>
    </row>
    <row r="100" spans="1:14" x14ac:dyDescent="0.3">
      <c r="A100" s="15">
        <v>1099</v>
      </c>
      <c r="B100" s="16">
        <v>46016</v>
      </c>
      <c r="C100" s="15" t="s">
        <v>14</v>
      </c>
      <c r="D100" s="15" t="s">
        <v>15</v>
      </c>
      <c r="E100" s="15" t="s">
        <v>16</v>
      </c>
      <c r="F100" s="15" t="s">
        <v>41</v>
      </c>
      <c r="G100" s="15" t="s">
        <v>42</v>
      </c>
      <c r="H100" s="15" t="s">
        <v>59</v>
      </c>
      <c r="I100" s="15">
        <v>8</v>
      </c>
      <c r="J100" s="17">
        <v>28000</v>
      </c>
      <c r="K100" s="18">
        <v>0.05</v>
      </c>
      <c r="L100" s="17">
        <v>212800</v>
      </c>
      <c r="M100" s="15" t="s">
        <v>35</v>
      </c>
      <c r="N100" s="15" t="s">
        <v>31</v>
      </c>
    </row>
    <row r="101" spans="1:14" x14ac:dyDescent="0.3">
      <c r="A101" s="15">
        <v>1100</v>
      </c>
      <c r="B101" s="16">
        <v>45823</v>
      </c>
      <c r="C101" s="15" t="s">
        <v>14</v>
      </c>
      <c r="D101" s="15" t="s">
        <v>15</v>
      </c>
      <c r="E101" s="15" t="s">
        <v>16</v>
      </c>
      <c r="F101" s="15" t="s">
        <v>27</v>
      </c>
      <c r="G101" s="15" t="s">
        <v>28</v>
      </c>
      <c r="H101" s="15" t="s">
        <v>34</v>
      </c>
      <c r="I101" s="15">
        <v>1</v>
      </c>
      <c r="J101" s="17">
        <v>28000</v>
      </c>
      <c r="K101" s="18">
        <v>0.1</v>
      </c>
      <c r="L101" s="17">
        <v>25200</v>
      </c>
      <c r="M101" s="15" t="s">
        <v>30</v>
      </c>
      <c r="N101" s="15" t="s">
        <v>21</v>
      </c>
    </row>
    <row r="102" spans="1:14" x14ac:dyDescent="0.3">
      <c r="A102" s="15">
        <v>1101</v>
      </c>
      <c r="B102" s="16">
        <v>45953</v>
      </c>
      <c r="C102" s="15" t="s">
        <v>70</v>
      </c>
      <c r="D102" s="15" t="s">
        <v>71</v>
      </c>
      <c r="E102" s="15" t="s">
        <v>52</v>
      </c>
      <c r="F102" s="15" t="s">
        <v>22</v>
      </c>
      <c r="G102" s="15" t="s">
        <v>18</v>
      </c>
      <c r="H102" s="15" t="s">
        <v>62</v>
      </c>
      <c r="I102" s="15">
        <v>1</v>
      </c>
      <c r="J102" s="17">
        <v>11000</v>
      </c>
      <c r="K102" s="18">
        <v>0.05</v>
      </c>
      <c r="L102" s="17">
        <v>10450</v>
      </c>
      <c r="M102" s="15" t="s">
        <v>35</v>
      </c>
      <c r="N102" s="15" t="s">
        <v>36</v>
      </c>
    </row>
    <row r="103" spans="1:14" x14ac:dyDescent="0.3">
      <c r="A103" s="15">
        <v>1102</v>
      </c>
      <c r="B103" s="16">
        <v>45704</v>
      </c>
      <c r="C103" s="15" t="s">
        <v>45</v>
      </c>
      <c r="D103" s="15" t="s">
        <v>46</v>
      </c>
      <c r="E103" s="15" t="s">
        <v>16</v>
      </c>
      <c r="F103" s="15" t="s">
        <v>41</v>
      </c>
      <c r="G103" s="15" t="s">
        <v>42</v>
      </c>
      <c r="H103" s="15" t="s">
        <v>67</v>
      </c>
      <c r="I103" s="15">
        <v>7</v>
      </c>
      <c r="J103" s="17">
        <v>22000</v>
      </c>
      <c r="K103" s="18">
        <v>0.1</v>
      </c>
      <c r="L103" s="17">
        <v>138600</v>
      </c>
      <c r="M103" s="15" t="s">
        <v>43</v>
      </c>
      <c r="N103" s="15" t="s">
        <v>36</v>
      </c>
    </row>
    <row r="104" spans="1:14" x14ac:dyDescent="0.3">
      <c r="A104" s="15">
        <v>1103</v>
      </c>
      <c r="B104" s="16">
        <v>45868</v>
      </c>
      <c r="C104" s="15" t="s">
        <v>14</v>
      </c>
      <c r="D104" s="15" t="s">
        <v>15</v>
      </c>
      <c r="E104" s="15" t="s">
        <v>16</v>
      </c>
      <c r="F104" s="15" t="s">
        <v>41</v>
      </c>
      <c r="G104" s="15" t="s">
        <v>42</v>
      </c>
      <c r="H104" s="15" t="s">
        <v>65</v>
      </c>
      <c r="I104" s="15">
        <v>3</v>
      </c>
      <c r="J104" s="17">
        <v>28000</v>
      </c>
      <c r="K104" s="18">
        <v>0.05</v>
      </c>
      <c r="L104" s="17">
        <v>79800</v>
      </c>
      <c r="M104" s="15" t="s">
        <v>35</v>
      </c>
      <c r="N104" s="15" t="s">
        <v>21</v>
      </c>
    </row>
    <row r="105" spans="1:14" x14ac:dyDescent="0.3">
      <c r="A105" s="15">
        <v>1104</v>
      </c>
      <c r="B105" s="16">
        <v>45819</v>
      </c>
      <c r="C105" s="15" t="s">
        <v>47</v>
      </c>
      <c r="D105" s="15" t="s">
        <v>48</v>
      </c>
      <c r="E105" s="15" t="s">
        <v>16</v>
      </c>
      <c r="F105" s="15" t="s">
        <v>27</v>
      </c>
      <c r="G105" s="15" t="s">
        <v>42</v>
      </c>
      <c r="H105" s="15" t="s">
        <v>84</v>
      </c>
      <c r="I105" s="15">
        <v>8</v>
      </c>
      <c r="J105" s="17">
        <v>55000</v>
      </c>
      <c r="K105" s="18">
        <v>0</v>
      </c>
      <c r="L105" s="17">
        <v>440000</v>
      </c>
      <c r="M105" s="15" t="s">
        <v>35</v>
      </c>
      <c r="N105" s="15" t="s">
        <v>21</v>
      </c>
    </row>
    <row r="106" spans="1:14" x14ac:dyDescent="0.3">
      <c r="A106" s="15">
        <v>1105</v>
      </c>
      <c r="B106" s="16">
        <v>45685</v>
      </c>
      <c r="C106" s="15" t="s">
        <v>47</v>
      </c>
      <c r="D106" s="15" t="s">
        <v>48</v>
      </c>
      <c r="E106" s="15" t="s">
        <v>16</v>
      </c>
      <c r="F106" s="15" t="s">
        <v>17</v>
      </c>
      <c r="G106" s="15" t="s">
        <v>57</v>
      </c>
      <c r="H106" s="15" t="s">
        <v>75</v>
      </c>
      <c r="I106" s="15">
        <v>8</v>
      </c>
      <c r="J106" s="17">
        <v>55000</v>
      </c>
      <c r="K106" s="18">
        <v>0.1</v>
      </c>
      <c r="L106" s="17">
        <v>396000</v>
      </c>
      <c r="M106" s="15" t="s">
        <v>35</v>
      </c>
      <c r="N106" s="15" t="s">
        <v>31</v>
      </c>
    </row>
    <row r="107" spans="1:14" x14ac:dyDescent="0.3">
      <c r="A107" s="15">
        <v>1106</v>
      </c>
      <c r="B107" s="16">
        <v>45939</v>
      </c>
      <c r="C107" s="15" t="s">
        <v>47</v>
      </c>
      <c r="D107" s="15" t="s">
        <v>48</v>
      </c>
      <c r="E107" s="15" t="s">
        <v>16</v>
      </c>
      <c r="F107" s="15" t="s">
        <v>17</v>
      </c>
      <c r="G107" s="15" t="s">
        <v>42</v>
      </c>
      <c r="H107" s="15" t="s">
        <v>38</v>
      </c>
      <c r="I107" s="15">
        <v>4</v>
      </c>
      <c r="J107" s="17">
        <v>55000</v>
      </c>
      <c r="K107" s="18">
        <v>0.05</v>
      </c>
      <c r="L107" s="17">
        <v>209000</v>
      </c>
      <c r="M107" s="15" t="s">
        <v>35</v>
      </c>
      <c r="N107" s="15" t="s">
        <v>36</v>
      </c>
    </row>
    <row r="108" spans="1:14" x14ac:dyDescent="0.3">
      <c r="A108" s="15">
        <v>1107</v>
      </c>
      <c r="B108" s="16">
        <v>45817</v>
      </c>
      <c r="C108" s="15" t="s">
        <v>47</v>
      </c>
      <c r="D108" s="15" t="s">
        <v>48</v>
      </c>
      <c r="E108" s="15" t="s">
        <v>16</v>
      </c>
      <c r="F108" s="15" t="s">
        <v>22</v>
      </c>
      <c r="G108" s="15" t="s">
        <v>57</v>
      </c>
      <c r="H108" s="15" t="s">
        <v>67</v>
      </c>
      <c r="I108" s="15">
        <v>4</v>
      </c>
      <c r="J108" s="17">
        <v>55000</v>
      </c>
      <c r="K108" s="18">
        <v>0</v>
      </c>
      <c r="L108" s="17">
        <v>220000</v>
      </c>
      <c r="M108" s="15" t="s">
        <v>20</v>
      </c>
      <c r="N108" s="15" t="s">
        <v>36</v>
      </c>
    </row>
    <row r="109" spans="1:14" x14ac:dyDescent="0.3">
      <c r="A109" s="15">
        <v>1108</v>
      </c>
      <c r="B109" s="16">
        <v>45989</v>
      </c>
      <c r="C109" s="15" t="s">
        <v>14</v>
      </c>
      <c r="D109" s="15" t="s">
        <v>15</v>
      </c>
      <c r="E109" s="15" t="s">
        <v>16</v>
      </c>
      <c r="F109" s="15" t="s">
        <v>17</v>
      </c>
      <c r="G109" s="15" t="s">
        <v>58</v>
      </c>
      <c r="H109" s="15" t="s">
        <v>44</v>
      </c>
      <c r="I109" s="15">
        <v>8</v>
      </c>
      <c r="J109" s="17">
        <v>28000</v>
      </c>
      <c r="K109" s="18">
        <v>0</v>
      </c>
      <c r="L109" s="17">
        <v>224000</v>
      </c>
      <c r="M109" s="15" t="s">
        <v>43</v>
      </c>
      <c r="N109" s="15" t="s">
        <v>21</v>
      </c>
    </row>
    <row r="110" spans="1:14" x14ac:dyDescent="0.3">
      <c r="A110" s="15">
        <v>1109</v>
      </c>
      <c r="B110" s="16">
        <v>45899</v>
      </c>
      <c r="C110" s="15" t="s">
        <v>39</v>
      </c>
      <c r="D110" s="15" t="s">
        <v>40</v>
      </c>
      <c r="E110" s="15" t="s">
        <v>26</v>
      </c>
      <c r="F110" s="15" t="s">
        <v>17</v>
      </c>
      <c r="G110" s="15" t="s">
        <v>58</v>
      </c>
      <c r="H110" s="15" t="s">
        <v>78</v>
      </c>
      <c r="I110" s="15">
        <v>7</v>
      </c>
      <c r="J110" s="17">
        <v>1200</v>
      </c>
      <c r="K110" s="18">
        <v>0.1</v>
      </c>
      <c r="L110" s="17">
        <v>7560</v>
      </c>
      <c r="M110" s="15" t="s">
        <v>30</v>
      </c>
      <c r="N110" s="15" t="s">
        <v>31</v>
      </c>
    </row>
    <row r="111" spans="1:14" x14ac:dyDescent="0.3">
      <c r="A111" s="15">
        <v>1110</v>
      </c>
      <c r="B111" s="16">
        <v>45799</v>
      </c>
      <c r="C111" s="15" t="s">
        <v>24</v>
      </c>
      <c r="D111" s="15" t="s">
        <v>25</v>
      </c>
      <c r="E111" s="15" t="s">
        <v>26</v>
      </c>
      <c r="F111" s="15" t="s">
        <v>41</v>
      </c>
      <c r="G111" s="15" t="s">
        <v>42</v>
      </c>
      <c r="H111" s="15" t="s">
        <v>44</v>
      </c>
      <c r="I111" s="15">
        <v>3</v>
      </c>
      <c r="J111" s="17">
        <v>2500</v>
      </c>
      <c r="K111" s="18">
        <v>0</v>
      </c>
      <c r="L111" s="17">
        <v>7500</v>
      </c>
      <c r="M111" s="15" t="s">
        <v>43</v>
      </c>
      <c r="N111" s="15" t="s">
        <v>36</v>
      </c>
    </row>
    <row r="112" spans="1:14" x14ac:dyDescent="0.3">
      <c r="A112" s="15">
        <v>1111</v>
      </c>
      <c r="B112" s="16">
        <v>45954</v>
      </c>
      <c r="C112" s="15" t="s">
        <v>39</v>
      </c>
      <c r="D112" s="15" t="s">
        <v>40</v>
      </c>
      <c r="E112" s="15" t="s">
        <v>26</v>
      </c>
      <c r="F112" s="15" t="s">
        <v>41</v>
      </c>
      <c r="G112" s="15" t="s">
        <v>18</v>
      </c>
      <c r="H112" s="15" t="s">
        <v>38</v>
      </c>
      <c r="I112" s="15">
        <v>5</v>
      </c>
      <c r="J112" s="17">
        <v>1200</v>
      </c>
      <c r="K112" s="18">
        <v>0.15</v>
      </c>
      <c r="L112" s="17">
        <v>5100</v>
      </c>
      <c r="M112" s="15" t="s">
        <v>35</v>
      </c>
      <c r="N112" s="15" t="s">
        <v>36</v>
      </c>
    </row>
    <row r="113" spans="1:14" x14ac:dyDescent="0.3">
      <c r="A113" s="15">
        <v>1112</v>
      </c>
      <c r="B113" s="16">
        <v>45822</v>
      </c>
      <c r="C113" s="15" t="s">
        <v>32</v>
      </c>
      <c r="D113" s="15" t="s">
        <v>33</v>
      </c>
      <c r="E113" s="15" t="s">
        <v>26</v>
      </c>
      <c r="F113" s="15" t="s">
        <v>17</v>
      </c>
      <c r="G113" s="15" t="s">
        <v>37</v>
      </c>
      <c r="H113" s="15" t="s">
        <v>23</v>
      </c>
      <c r="I113" s="15">
        <v>7</v>
      </c>
      <c r="J113" s="15">
        <v>800</v>
      </c>
      <c r="K113" s="18">
        <v>0.1</v>
      </c>
      <c r="L113" s="17">
        <v>5040</v>
      </c>
      <c r="M113" s="15" t="s">
        <v>35</v>
      </c>
      <c r="N113" s="15" t="s">
        <v>36</v>
      </c>
    </row>
    <row r="114" spans="1:14" x14ac:dyDescent="0.3">
      <c r="A114" s="15">
        <v>1113</v>
      </c>
      <c r="B114" s="16">
        <v>45900</v>
      </c>
      <c r="C114" s="15" t="s">
        <v>68</v>
      </c>
      <c r="D114" s="15" t="s">
        <v>69</v>
      </c>
      <c r="E114" s="15" t="s">
        <v>16</v>
      </c>
      <c r="F114" s="15" t="s">
        <v>41</v>
      </c>
      <c r="G114" s="15" t="s">
        <v>58</v>
      </c>
      <c r="H114" s="15" t="s">
        <v>65</v>
      </c>
      <c r="I114" s="15">
        <v>1</v>
      </c>
      <c r="J114" s="17">
        <v>15000</v>
      </c>
      <c r="K114" s="18">
        <v>0.05</v>
      </c>
      <c r="L114" s="17">
        <v>14250</v>
      </c>
      <c r="M114" s="15" t="s">
        <v>30</v>
      </c>
      <c r="N114" s="15" t="s">
        <v>31</v>
      </c>
    </row>
    <row r="115" spans="1:14" x14ac:dyDescent="0.3">
      <c r="A115" s="15">
        <v>1114</v>
      </c>
      <c r="B115" s="16">
        <v>45960</v>
      </c>
      <c r="C115" s="15" t="s">
        <v>47</v>
      </c>
      <c r="D115" s="15" t="s">
        <v>48</v>
      </c>
      <c r="E115" s="15" t="s">
        <v>16</v>
      </c>
      <c r="F115" s="15" t="s">
        <v>27</v>
      </c>
      <c r="G115" s="15" t="s">
        <v>28</v>
      </c>
      <c r="H115" s="15" t="s">
        <v>76</v>
      </c>
      <c r="I115" s="15">
        <v>3</v>
      </c>
      <c r="J115" s="17">
        <v>55000</v>
      </c>
      <c r="K115" s="18">
        <v>0.15</v>
      </c>
      <c r="L115" s="17">
        <v>140250</v>
      </c>
      <c r="M115" s="15" t="s">
        <v>35</v>
      </c>
      <c r="N115" s="15" t="s">
        <v>36</v>
      </c>
    </row>
    <row r="116" spans="1:14" x14ac:dyDescent="0.3">
      <c r="A116" s="15">
        <v>1115</v>
      </c>
      <c r="B116" s="16">
        <v>45731</v>
      </c>
      <c r="C116" s="15" t="s">
        <v>50</v>
      </c>
      <c r="D116" s="15" t="s">
        <v>51</v>
      </c>
      <c r="E116" s="15" t="s">
        <v>52</v>
      </c>
      <c r="F116" s="15" t="s">
        <v>41</v>
      </c>
      <c r="G116" s="15" t="s">
        <v>37</v>
      </c>
      <c r="H116" s="15" t="s">
        <v>85</v>
      </c>
      <c r="I116" s="15">
        <v>8</v>
      </c>
      <c r="J116" s="17">
        <v>8500</v>
      </c>
      <c r="K116" s="18">
        <v>0</v>
      </c>
      <c r="L116" s="17">
        <v>68000</v>
      </c>
      <c r="M116" s="15" t="s">
        <v>20</v>
      </c>
      <c r="N116" s="15" t="s">
        <v>31</v>
      </c>
    </row>
    <row r="117" spans="1:14" x14ac:dyDescent="0.3">
      <c r="A117" s="15">
        <v>1116</v>
      </c>
      <c r="B117" s="16">
        <v>46012</v>
      </c>
      <c r="C117" s="15" t="s">
        <v>39</v>
      </c>
      <c r="D117" s="15" t="s">
        <v>40</v>
      </c>
      <c r="E117" s="15" t="s">
        <v>26</v>
      </c>
      <c r="F117" s="15" t="s">
        <v>41</v>
      </c>
      <c r="G117" s="15" t="s">
        <v>37</v>
      </c>
      <c r="H117" s="15" t="s">
        <v>34</v>
      </c>
      <c r="I117" s="15">
        <v>6</v>
      </c>
      <c r="J117" s="17">
        <v>1200</v>
      </c>
      <c r="K117" s="18">
        <v>0.15</v>
      </c>
      <c r="L117" s="17">
        <v>6120</v>
      </c>
      <c r="M117" s="15" t="s">
        <v>43</v>
      </c>
      <c r="N117" s="15" t="s">
        <v>21</v>
      </c>
    </row>
    <row r="118" spans="1:14" x14ac:dyDescent="0.3">
      <c r="A118" s="15">
        <v>1117</v>
      </c>
      <c r="B118" s="16">
        <v>45935</v>
      </c>
      <c r="C118" s="15" t="s">
        <v>68</v>
      </c>
      <c r="D118" s="15" t="s">
        <v>69</v>
      </c>
      <c r="E118" s="15" t="s">
        <v>16</v>
      </c>
      <c r="F118" s="15" t="s">
        <v>22</v>
      </c>
      <c r="G118" s="15" t="s">
        <v>57</v>
      </c>
      <c r="H118" s="15" t="s">
        <v>34</v>
      </c>
      <c r="I118" s="15">
        <v>6</v>
      </c>
      <c r="J118" s="17">
        <v>15000</v>
      </c>
      <c r="K118" s="18">
        <v>0.1</v>
      </c>
      <c r="L118" s="17">
        <v>81000</v>
      </c>
      <c r="M118" s="15" t="s">
        <v>30</v>
      </c>
      <c r="N118" s="15" t="s">
        <v>36</v>
      </c>
    </row>
    <row r="119" spans="1:14" x14ac:dyDescent="0.3">
      <c r="A119" s="15">
        <v>1118</v>
      </c>
      <c r="B119" s="16">
        <v>45708</v>
      </c>
      <c r="C119" s="15" t="s">
        <v>24</v>
      </c>
      <c r="D119" s="15" t="s">
        <v>25</v>
      </c>
      <c r="E119" s="15" t="s">
        <v>26</v>
      </c>
      <c r="F119" s="15" t="s">
        <v>22</v>
      </c>
      <c r="G119" s="15" t="s">
        <v>58</v>
      </c>
      <c r="H119" s="15" t="s">
        <v>56</v>
      </c>
      <c r="I119" s="15">
        <v>2</v>
      </c>
      <c r="J119" s="17">
        <v>2500</v>
      </c>
      <c r="K119" s="18">
        <v>0.1</v>
      </c>
      <c r="L119" s="17">
        <v>4500</v>
      </c>
      <c r="M119" s="15" t="s">
        <v>43</v>
      </c>
      <c r="N119" s="15" t="s">
        <v>36</v>
      </c>
    </row>
    <row r="120" spans="1:14" x14ac:dyDescent="0.3">
      <c r="A120" s="15">
        <v>1119</v>
      </c>
      <c r="B120" s="16">
        <v>45808</v>
      </c>
      <c r="C120" s="15" t="s">
        <v>47</v>
      </c>
      <c r="D120" s="15" t="s">
        <v>48</v>
      </c>
      <c r="E120" s="15" t="s">
        <v>16</v>
      </c>
      <c r="F120" s="15" t="s">
        <v>27</v>
      </c>
      <c r="G120" s="15" t="s">
        <v>42</v>
      </c>
      <c r="H120" s="15" t="s">
        <v>67</v>
      </c>
      <c r="I120" s="15">
        <v>6</v>
      </c>
      <c r="J120" s="17">
        <v>55000</v>
      </c>
      <c r="K120" s="18">
        <v>0</v>
      </c>
      <c r="L120" s="17">
        <v>330000</v>
      </c>
      <c r="M120" s="15" t="s">
        <v>30</v>
      </c>
      <c r="N120" s="15" t="s">
        <v>36</v>
      </c>
    </row>
    <row r="121" spans="1:14" x14ac:dyDescent="0.3">
      <c r="A121" s="15">
        <v>1120</v>
      </c>
      <c r="B121" s="16">
        <v>46007</v>
      </c>
      <c r="C121" s="15" t="s">
        <v>50</v>
      </c>
      <c r="D121" s="15" t="s">
        <v>51</v>
      </c>
      <c r="E121" s="15" t="s">
        <v>52</v>
      </c>
      <c r="F121" s="15" t="s">
        <v>17</v>
      </c>
      <c r="G121" s="15" t="s">
        <v>18</v>
      </c>
      <c r="H121" s="15" t="s">
        <v>56</v>
      </c>
      <c r="I121" s="15">
        <v>7</v>
      </c>
      <c r="J121" s="17">
        <v>8500</v>
      </c>
      <c r="K121" s="18">
        <v>0.15</v>
      </c>
      <c r="L121" s="17">
        <v>50575</v>
      </c>
      <c r="M121" s="15" t="s">
        <v>20</v>
      </c>
      <c r="N121" s="15" t="s">
        <v>21</v>
      </c>
    </row>
    <row r="122" spans="1:14" x14ac:dyDescent="0.3">
      <c r="A122" s="15">
        <v>1121</v>
      </c>
      <c r="B122" s="16">
        <v>45956</v>
      </c>
      <c r="C122" s="15" t="s">
        <v>68</v>
      </c>
      <c r="D122" s="15" t="s">
        <v>69</v>
      </c>
      <c r="E122" s="15" t="s">
        <v>16</v>
      </c>
      <c r="F122" s="15" t="s">
        <v>17</v>
      </c>
      <c r="G122" s="15" t="s">
        <v>18</v>
      </c>
      <c r="H122" s="15" t="s">
        <v>38</v>
      </c>
      <c r="I122" s="15">
        <v>4</v>
      </c>
      <c r="J122" s="17">
        <v>15000</v>
      </c>
      <c r="K122" s="18">
        <v>0.1</v>
      </c>
      <c r="L122" s="17">
        <v>54000</v>
      </c>
      <c r="M122" s="15" t="s">
        <v>43</v>
      </c>
      <c r="N122" s="15" t="s">
        <v>31</v>
      </c>
    </row>
    <row r="123" spans="1:14" x14ac:dyDescent="0.3">
      <c r="A123" s="15">
        <v>1122</v>
      </c>
      <c r="B123" s="16">
        <v>45805</v>
      </c>
      <c r="C123" s="15" t="s">
        <v>39</v>
      </c>
      <c r="D123" s="15" t="s">
        <v>40</v>
      </c>
      <c r="E123" s="15" t="s">
        <v>26</v>
      </c>
      <c r="F123" s="15" t="s">
        <v>17</v>
      </c>
      <c r="G123" s="15" t="s">
        <v>28</v>
      </c>
      <c r="H123" s="15" t="s">
        <v>38</v>
      </c>
      <c r="I123" s="15">
        <v>1</v>
      </c>
      <c r="J123" s="17">
        <v>1200</v>
      </c>
      <c r="K123" s="18">
        <v>0.1</v>
      </c>
      <c r="L123" s="17">
        <v>1080</v>
      </c>
      <c r="M123" s="15" t="s">
        <v>43</v>
      </c>
      <c r="N123" s="15" t="s">
        <v>21</v>
      </c>
    </row>
    <row r="124" spans="1:14" x14ac:dyDescent="0.3">
      <c r="A124" s="15">
        <v>1123</v>
      </c>
      <c r="B124" s="16">
        <v>45891</v>
      </c>
      <c r="C124" s="15" t="s">
        <v>39</v>
      </c>
      <c r="D124" s="15" t="s">
        <v>40</v>
      </c>
      <c r="E124" s="15" t="s">
        <v>26</v>
      </c>
      <c r="F124" s="15" t="s">
        <v>27</v>
      </c>
      <c r="G124" s="15" t="s">
        <v>18</v>
      </c>
      <c r="H124" s="15" t="s">
        <v>86</v>
      </c>
      <c r="I124" s="15">
        <v>7</v>
      </c>
      <c r="J124" s="17">
        <v>1200</v>
      </c>
      <c r="K124" s="18">
        <v>0.05</v>
      </c>
      <c r="L124" s="17">
        <v>7980</v>
      </c>
      <c r="M124" s="15" t="s">
        <v>35</v>
      </c>
      <c r="N124" s="15" t="s">
        <v>36</v>
      </c>
    </row>
    <row r="125" spans="1:14" x14ac:dyDescent="0.3">
      <c r="A125" s="15">
        <v>1124</v>
      </c>
      <c r="B125" s="16">
        <v>45841</v>
      </c>
      <c r="C125" s="15" t="s">
        <v>24</v>
      </c>
      <c r="D125" s="15" t="s">
        <v>25</v>
      </c>
      <c r="E125" s="15" t="s">
        <v>26</v>
      </c>
      <c r="F125" s="15" t="s">
        <v>27</v>
      </c>
      <c r="G125" s="15" t="s">
        <v>37</v>
      </c>
      <c r="H125" s="15" t="s">
        <v>63</v>
      </c>
      <c r="I125" s="15">
        <v>7</v>
      </c>
      <c r="J125" s="17">
        <v>2500</v>
      </c>
      <c r="K125" s="18">
        <v>0.15</v>
      </c>
      <c r="L125" s="17">
        <v>14875</v>
      </c>
      <c r="M125" s="15" t="s">
        <v>20</v>
      </c>
      <c r="N125" s="15" t="s">
        <v>31</v>
      </c>
    </row>
    <row r="126" spans="1:14" x14ac:dyDescent="0.3">
      <c r="A126" s="15">
        <v>1125</v>
      </c>
      <c r="B126" s="16">
        <v>46009</v>
      </c>
      <c r="C126" s="15" t="s">
        <v>39</v>
      </c>
      <c r="D126" s="15" t="s">
        <v>40</v>
      </c>
      <c r="E126" s="15" t="s">
        <v>26</v>
      </c>
      <c r="F126" s="15" t="s">
        <v>22</v>
      </c>
      <c r="G126" s="15" t="s">
        <v>57</v>
      </c>
      <c r="H126" s="15" t="s">
        <v>19</v>
      </c>
      <c r="I126" s="15">
        <v>1</v>
      </c>
      <c r="J126" s="17">
        <v>1200</v>
      </c>
      <c r="K126" s="18">
        <v>0.15</v>
      </c>
      <c r="L126" s="17">
        <v>1020</v>
      </c>
      <c r="M126" s="15" t="s">
        <v>35</v>
      </c>
      <c r="N126" s="15" t="s">
        <v>36</v>
      </c>
    </row>
    <row r="127" spans="1:14" x14ac:dyDescent="0.3">
      <c r="A127" s="15">
        <v>1126</v>
      </c>
      <c r="B127" s="16">
        <v>45983</v>
      </c>
      <c r="C127" s="15" t="s">
        <v>24</v>
      </c>
      <c r="D127" s="15" t="s">
        <v>25</v>
      </c>
      <c r="E127" s="15" t="s">
        <v>26</v>
      </c>
      <c r="F127" s="15" t="s">
        <v>17</v>
      </c>
      <c r="G127" s="15" t="s">
        <v>57</v>
      </c>
      <c r="H127" s="15" t="s">
        <v>49</v>
      </c>
      <c r="I127" s="15">
        <v>6</v>
      </c>
      <c r="J127" s="17">
        <v>2500</v>
      </c>
      <c r="K127" s="18">
        <v>0</v>
      </c>
      <c r="L127" s="17">
        <v>15000</v>
      </c>
      <c r="M127" s="15" t="s">
        <v>30</v>
      </c>
      <c r="N127" s="15" t="s">
        <v>36</v>
      </c>
    </row>
    <row r="128" spans="1:14" x14ac:dyDescent="0.3">
      <c r="A128" s="15">
        <v>1127</v>
      </c>
      <c r="B128" s="16">
        <v>45675</v>
      </c>
      <c r="C128" s="15" t="s">
        <v>47</v>
      </c>
      <c r="D128" s="15" t="s">
        <v>48</v>
      </c>
      <c r="E128" s="15" t="s">
        <v>16</v>
      </c>
      <c r="F128" s="15" t="s">
        <v>27</v>
      </c>
      <c r="G128" s="15" t="s">
        <v>37</v>
      </c>
      <c r="H128" s="15" t="s">
        <v>85</v>
      </c>
      <c r="I128" s="15">
        <v>5</v>
      </c>
      <c r="J128" s="17">
        <v>55000</v>
      </c>
      <c r="K128" s="18">
        <v>0.1</v>
      </c>
      <c r="L128" s="17">
        <v>247500</v>
      </c>
      <c r="M128" s="15" t="s">
        <v>20</v>
      </c>
      <c r="N128" s="15" t="s">
        <v>36</v>
      </c>
    </row>
    <row r="129" spans="1:14" x14ac:dyDescent="0.3">
      <c r="A129" s="15">
        <v>1128</v>
      </c>
      <c r="B129" s="16">
        <v>45760</v>
      </c>
      <c r="C129" s="15" t="s">
        <v>32</v>
      </c>
      <c r="D129" s="15" t="s">
        <v>33</v>
      </c>
      <c r="E129" s="15" t="s">
        <v>26</v>
      </c>
      <c r="F129" s="15" t="s">
        <v>17</v>
      </c>
      <c r="G129" s="15" t="s">
        <v>57</v>
      </c>
      <c r="H129" s="15" t="s">
        <v>61</v>
      </c>
      <c r="I129" s="15">
        <v>7</v>
      </c>
      <c r="J129" s="15">
        <v>800</v>
      </c>
      <c r="K129" s="18">
        <v>0</v>
      </c>
      <c r="L129" s="17">
        <v>5600</v>
      </c>
      <c r="M129" s="15" t="s">
        <v>43</v>
      </c>
      <c r="N129" s="15" t="s">
        <v>21</v>
      </c>
    </row>
    <row r="130" spans="1:14" x14ac:dyDescent="0.3">
      <c r="A130" s="15">
        <v>1129</v>
      </c>
      <c r="B130" s="16">
        <v>45789</v>
      </c>
      <c r="C130" s="15" t="s">
        <v>50</v>
      </c>
      <c r="D130" s="15" t="s">
        <v>51</v>
      </c>
      <c r="E130" s="15" t="s">
        <v>52</v>
      </c>
      <c r="F130" s="15" t="s">
        <v>41</v>
      </c>
      <c r="G130" s="15" t="s">
        <v>42</v>
      </c>
      <c r="H130" s="15" t="s">
        <v>19</v>
      </c>
      <c r="I130" s="15">
        <v>5</v>
      </c>
      <c r="J130" s="17">
        <v>8500</v>
      </c>
      <c r="K130" s="18">
        <v>0</v>
      </c>
      <c r="L130" s="17">
        <v>42500</v>
      </c>
      <c r="M130" s="15" t="s">
        <v>43</v>
      </c>
      <c r="N130" s="15" t="s">
        <v>36</v>
      </c>
    </row>
    <row r="131" spans="1:14" x14ac:dyDescent="0.3">
      <c r="A131" s="15">
        <v>1130</v>
      </c>
      <c r="B131" s="16">
        <v>45773</v>
      </c>
      <c r="C131" s="15" t="s">
        <v>53</v>
      </c>
      <c r="D131" s="15" t="s">
        <v>54</v>
      </c>
      <c r="E131" s="15" t="s">
        <v>55</v>
      </c>
      <c r="F131" s="15" t="s">
        <v>41</v>
      </c>
      <c r="G131" s="15" t="s">
        <v>57</v>
      </c>
      <c r="H131" s="15" t="s">
        <v>75</v>
      </c>
      <c r="I131" s="15">
        <v>2</v>
      </c>
      <c r="J131" s="17">
        <v>12000</v>
      </c>
      <c r="K131" s="18">
        <v>0</v>
      </c>
      <c r="L131" s="17">
        <v>24000</v>
      </c>
      <c r="M131" s="15" t="s">
        <v>20</v>
      </c>
      <c r="N131" s="15" t="s">
        <v>31</v>
      </c>
    </row>
    <row r="132" spans="1:14" x14ac:dyDescent="0.3">
      <c r="A132" s="15">
        <v>1131</v>
      </c>
      <c r="B132" s="16">
        <v>45721</v>
      </c>
      <c r="C132" s="15" t="s">
        <v>47</v>
      </c>
      <c r="D132" s="15" t="s">
        <v>48</v>
      </c>
      <c r="E132" s="15" t="s">
        <v>16</v>
      </c>
      <c r="F132" s="15" t="s">
        <v>41</v>
      </c>
      <c r="G132" s="15" t="s">
        <v>42</v>
      </c>
      <c r="H132" s="15" t="s">
        <v>65</v>
      </c>
      <c r="I132" s="15">
        <v>5</v>
      </c>
      <c r="J132" s="17">
        <v>55000</v>
      </c>
      <c r="K132" s="18">
        <v>0.15</v>
      </c>
      <c r="L132" s="17">
        <v>233750</v>
      </c>
      <c r="M132" s="15" t="s">
        <v>43</v>
      </c>
      <c r="N132" s="15" t="s">
        <v>21</v>
      </c>
    </row>
    <row r="133" spans="1:14" x14ac:dyDescent="0.3">
      <c r="A133" s="15">
        <v>1132</v>
      </c>
      <c r="B133" s="16">
        <v>46003</v>
      </c>
      <c r="C133" s="15" t="s">
        <v>68</v>
      </c>
      <c r="D133" s="15" t="s">
        <v>69</v>
      </c>
      <c r="E133" s="15" t="s">
        <v>16</v>
      </c>
      <c r="F133" s="15" t="s">
        <v>17</v>
      </c>
      <c r="G133" s="15" t="s">
        <v>58</v>
      </c>
      <c r="H133" s="15" t="s">
        <v>81</v>
      </c>
      <c r="I133" s="15">
        <v>6</v>
      </c>
      <c r="J133" s="17">
        <v>15000</v>
      </c>
      <c r="K133" s="18">
        <v>0</v>
      </c>
      <c r="L133" s="17">
        <v>90000</v>
      </c>
      <c r="M133" s="15" t="s">
        <v>43</v>
      </c>
      <c r="N133" s="15" t="s">
        <v>21</v>
      </c>
    </row>
    <row r="134" spans="1:14" x14ac:dyDescent="0.3">
      <c r="A134" s="15">
        <v>1133</v>
      </c>
      <c r="B134" s="16">
        <v>46016</v>
      </c>
      <c r="C134" s="15" t="s">
        <v>24</v>
      </c>
      <c r="D134" s="15" t="s">
        <v>25</v>
      </c>
      <c r="E134" s="15" t="s">
        <v>26</v>
      </c>
      <c r="F134" s="15" t="s">
        <v>27</v>
      </c>
      <c r="G134" s="15" t="s">
        <v>37</v>
      </c>
      <c r="H134" s="15" t="s">
        <v>67</v>
      </c>
      <c r="I134" s="15">
        <v>2</v>
      </c>
      <c r="J134" s="17">
        <v>2500</v>
      </c>
      <c r="K134" s="18">
        <v>0.1</v>
      </c>
      <c r="L134" s="17">
        <v>4500</v>
      </c>
      <c r="M134" s="15" t="s">
        <v>20</v>
      </c>
      <c r="N134" s="15" t="s">
        <v>36</v>
      </c>
    </row>
    <row r="135" spans="1:14" x14ac:dyDescent="0.3">
      <c r="A135" s="15">
        <v>1134</v>
      </c>
      <c r="B135" s="16">
        <v>45910</v>
      </c>
      <c r="C135" s="15" t="s">
        <v>47</v>
      </c>
      <c r="D135" s="15" t="s">
        <v>48</v>
      </c>
      <c r="E135" s="15" t="s">
        <v>16</v>
      </c>
      <c r="F135" s="15" t="s">
        <v>22</v>
      </c>
      <c r="G135" s="15" t="s">
        <v>28</v>
      </c>
      <c r="H135" s="15" t="s">
        <v>23</v>
      </c>
      <c r="I135" s="15">
        <v>1</v>
      </c>
      <c r="J135" s="17">
        <v>55000</v>
      </c>
      <c r="K135" s="18">
        <v>0.05</v>
      </c>
      <c r="L135" s="17">
        <v>52250</v>
      </c>
      <c r="M135" s="15" t="s">
        <v>30</v>
      </c>
      <c r="N135" s="15" t="s">
        <v>31</v>
      </c>
    </row>
    <row r="136" spans="1:14" x14ac:dyDescent="0.3">
      <c r="A136" s="15">
        <v>1135</v>
      </c>
      <c r="B136" s="16">
        <v>45872</v>
      </c>
      <c r="C136" s="15" t="s">
        <v>53</v>
      </c>
      <c r="D136" s="15" t="s">
        <v>54</v>
      </c>
      <c r="E136" s="15" t="s">
        <v>55</v>
      </c>
      <c r="F136" s="15" t="s">
        <v>17</v>
      </c>
      <c r="G136" s="15" t="s">
        <v>58</v>
      </c>
      <c r="H136" s="15" t="s">
        <v>77</v>
      </c>
      <c r="I136" s="15">
        <v>6</v>
      </c>
      <c r="J136" s="17">
        <v>12000</v>
      </c>
      <c r="K136" s="18">
        <v>0.15</v>
      </c>
      <c r="L136" s="17">
        <v>61200</v>
      </c>
      <c r="M136" s="15" t="s">
        <v>20</v>
      </c>
      <c r="N136" s="15" t="s">
        <v>31</v>
      </c>
    </row>
    <row r="137" spans="1:14" x14ac:dyDescent="0.3">
      <c r="A137" s="15">
        <v>1136</v>
      </c>
      <c r="B137" s="16">
        <v>45674</v>
      </c>
      <c r="C137" s="15" t="s">
        <v>70</v>
      </c>
      <c r="D137" s="15" t="s">
        <v>71</v>
      </c>
      <c r="E137" s="15" t="s">
        <v>52</v>
      </c>
      <c r="F137" s="15" t="s">
        <v>27</v>
      </c>
      <c r="G137" s="15" t="s">
        <v>18</v>
      </c>
      <c r="H137" s="15" t="s">
        <v>38</v>
      </c>
      <c r="I137" s="15">
        <v>7</v>
      </c>
      <c r="J137" s="17">
        <v>11000</v>
      </c>
      <c r="K137" s="18">
        <v>0.05</v>
      </c>
      <c r="L137" s="17">
        <v>73150</v>
      </c>
      <c r="M137" s="15" t="s">
        <v>35</v>
      </c>
      <c r="N137" s="15" t="s">
        <v>36</v>
      </c>
    </row>
    <row r="138" spans="1:14" x14ac:dyDescent="0.3">
      <c r="A138" s="15">
        <v>1137</v>
      </c>
      <c r="B138" s="16">
        <v>45936</v>
      </c>
      <c r="C138" s="15" t="s">
        <v>32</v>
      </c>
      <c r="D138" s="15" t="s">
        <v>33</v>
      </c>
      <c r="E138" s="15" t="s">
        <v>26</v>
      </c>
      <c r="F138" s="15" t="s">
        <v>27</v>
      </c>
      <c r="G138" s="15" t="s">
        <v>28</v>
      </c>
      <c r="H138" s="15" t="s">
        <v>86</v>
      </c>
      <c r="I138" s="15">
        <v>2</v>
      </c>
      <c r="J138" s="15">
        <v>800</v>
      </c>
      <c r="K138" s="18">
        <v>0.05</v>
      </c>
      <c r="L138" s="17">
        <v>1520</v>
      </c>
      <c r="M138" s="15" t="s">
        <v>43</v>
      </c>
      <c r="N138" s="15" t="s">
        <v>36</v>
      </c>
    </row>
    <row r="139" spans="1:14" x14ac:dyDescent="0.3">
      <c r="A139" s="15">
        <v>1138</v>
      </c>
      <c r="B139" s="16">
        <v>45997</v>
      </c>
      <c r="C139" s="15" t="s">
        <v>14</v>
      </c>
      <c r="D139" s="15" t="s">
        <v>15</v>
      </c>
      <c r="E139" s="15" t="s">
        <v>16</v>
      </c>
      <c r="F139" s="15" t="s">
        <v>17</v>
      </c>
      <c r="G139" s="15" t="s">
        <v>37</v>
      </c>
      <c r="H139" s="15" t="s">
        <v>77</v>
      </c>
      <c r="I139" s="15">
        <v>8</v>
      </c>
      <c r="J139" s="17">
        <v>28000</v>
      </c>
      <c r="K139" s="18">
        <v>0</v>
      </c>
      <c r="L139" s="17">
        <v>224000</v>
      </c>
      <c r="M139" s="15" t="s">
        <v>20</v>
      </c>
      <c r="N139" s="15" t="s">
        <v>36</v>
      </c>
    </row>
    <row r="140" spans="1:14" x14ac:dyDescent="0.3">
      <c r="A140" s="15">
        <v>1139</v>
      </c>
      <c r="B140" s="16">
        <v>45947</v>
      </c>
      <c r="C140" s="15" t="s">
        <v>32</v>
      </c>
      <c r="D140" s="15" t="s">
        <v>33</v>
      </c>
      <c r="E140" s="15" t="s">
        <v>26</v>
      </c>
      <c r="F140" s="15" t="s">
        <v>17</v>
      </c>
      <c r="G140" s="15" t="s">
        <v>28</v>
      </c>
      <c r="H140" s="15" t="s">
        <v>73</v>
      </c>
      <c r="I140" s="15">
        <v>4</v>
      </c>
      <c r="J140" s="15">
        <v>800</v>
      </c>
      <c r="K140" s="18">
        <v>0</v>
      </c>
      <c r="L140" s="17">
        <v>3200</v>
      </c>
      <c r="M140" s="15" t="s">
        <v>30</v>
      </c>
      <c r="N140" s="15" t="s">
        <v>21</v>
      </c>
    </row>
    <row r="141" spans="1:14" x14ac:dyDescent="0.3">
      <c r="A141" s="15">
        <v>1140</v>
      </c>
      <c r="B141" s="16">
        <v>45733</v>
      </c>
      <c r="C141" s="15" t="s">
        <v>24</v>
      </c>
      <c r="D141" s="15" t="s">
        <v>25</v>
      </c>
      <c r="E141" s="15" t="s">
        <v>26</v>
      </c>
      <c r="F141" s="15" t="s">
        <v>22</v>
      </c>
      <c r="G141" s="15" t="s">
        <v>42</v>
      </c>
      <c r="H141" s="15" t="s">
        <v>76</v>
      </c>
      <c r="I141" s="15">
        <v>4</v>
      </c>
      <c r="J141" s="17">
        <v>2500</v>
      </c>
      <c r="K141" s="18">
        <v>0.05</v>
      </c>
      <c r="L141" s="17">
        <v>9500</v>
      </c>
      <c r="M141" s="15" t="s">
        <v>30</v>
      </c>
      <c r="N141" s="15" t="s">
        <v>36</v>
      </c>
    </row>
    <row r="142" spans="1:14" x14ac:dyDescent="0.3">
      <c r="A142" s="15">
        <v>1141</v>
      </c>
      <c r="B142" s="16">
        <v>45714</v>
      </c>
      <c r="C142" s="15" t="s">
        <v>50</v>
      </c>
      <c r="D142" s="15" t="s">
        <v>51</v>
      </c>
      <c r="E142" s="15" t="s">
        <v>52</v>
      </c>
      <c r="F142" s="15" t="s">
        <v>22</v>
      </c>
      <c r="G142" s="15" t="s">
        <v>18</v>
      </c>
      <c r="H142" s="15" t="s">
        <v>81</v>
      </c>
      <c r="I142" s="15">
        <v>5</v>
      </c>
      <c r="J142" s="17">
        <v>8500</v>
      </c>
      <c r="K142" s="18">
        <v>0</v>
      </c>
      <c r="L142" s="17">
        <v>42500</v>
      </c>
      <c r="M142" s="15" t="s">
        <v>43</v>
      </c>
      <c r="N142" s="15" t="s">
        <v>36</v>
      </c>
    </row>
    <row r="143" spans="1:14" x14ac:dyDescent="0.3">
      <c r="A143" s="15">
        <v>1142</v>
      </c>
      <c r="B143" s="16">
        <v>45747</v>
      </c>
      <c r="C143" s="15" t="s">
        <v>70</v>
      </c>
      <c r="D143" s="15" t="s">
        <v>71</v>
      </c>
      <c r="E143" s="15" t="s">
        <v>52</v>
      </c>
      <c r="F143" s="15" t="s">
        <v>27</v>
      </c>
      <c r="G143" s="15" t="s">
        <v>28</v>
      </c>
      <c r="H143" s="15" t="s">
        <v>85</v>
      </c>
      <c r="I143" s="15">
        <v>6</v>
      </c>
      <c r="J143" s="17">
        <v>11000</v>
      </c>
      <c r="K143" s="18">
        <v>0</v>
      </c>
      <c r="L143" s="17">
        <v>66000</v>
      </c>
      <c r="M143" s="15" t="s">
        <v>35</v>
      </c>
      <c r="N143" s="15" t="s">
        <v>21</v>
      </c>
    </row>
    <row r="144" spans="1:14" x14ac:dyDescent="0.3">
      <c r="A144" s="15">
        <v>1143</v>
      </c>
      <c r="B144" s="16">
        <v>45887</v>
      </c>
      <c r="C144" s="15" t="s">
        <v>14</v>
      </c>
      <c r="D144" s="15" t="s">
        <v>15</v>
      </c>
      <c r="E144" s="15" t="s">
        <v>16</v>
      </c>
      <c r="F144" s="15" t="s">
        <v>27</v>
      </c>
      <c r="G144" s="15" t="s">
        <v>57</v>
      </c>
      <c r="H144" s="15" t="s">
        <v>83</v>
      </c>
      <c r="I144" s="15">
        <v>2</v>
      </c>
      <c r="J144" s="17">
        <v>28000</v>
      </c>
      <c r="K144" s="18">
        <v>0.1</v>
      </c>
      <c r="L144" s="17">
        <v>50400</v>
      </c>
      <c r="M144" s="15" t="s">
        <v>20</v>
      </c>
      <c r="N144" s="15" t="s">
        <v>31</v>
      </c>
    </row>
    <row r="145" spans="1:14" x14ac:dyDescent="0.3">
      <c r="A145" s="15">
        <v>1144</v>
      </c>
      <c r="B145" s="16">
        <v>45680</v>
      </c>
      <c r="C145" s="15" t="s">
        <v>50</v>
      </c>
      <c r="D145" s="15" t="s">
        <v>51</v>
      </c>
      <c r="E145" s="15" t="s">
        <v>52</v>
      </c>
      <c r="F145" s="15" t="s">
        <v>27</v>
      </c>
      <c r="G145" s="15" t="s">
        <v>58</v>
      </c>
      <c r="H145" s="15" t="s">
        <v>77</v>
      </c>
      <c r="I145" s="15">
        <v>4</v>
      </c>
      <c r="J145" s="17">
        <v>8500</v>
      </c>
      <c r="K145" s="18">
        <v>0.15</v>
      </c>
      <c r="L145" s="17">
        <v>28900</v>
      </c>
      <c r="M145" s="15" t="s">
        <v>20</v>
      </c>
      <c r="N145" s="15" t="s">
        <v>36</v>
      </c>
    </row>
    <row r="146" spans="1:14" x14ac:dyDescent="0.3">
      <c r="A146" s="15">
        <v>1145</v>
      </c>
      <c r="B146" s="16">
        <v>46009</v>
      </c>
      <c r="C146" s="15" t="s">
        <v>53</v>
      </c>
      <c r="D146" s="15" t="s">
        <v>54</v>
      </c>
      <c r="E146" s="15" t="s">
        <v>55</v>
      </c>
      <c r="F146" s="15" t="s">
        <v>22</v>
      </c>
      <c r="G146" s="15" t="s">
        <v>58</v>
      </c>
      <c r="H146" s="15" t="s">
        <v>64</v>
      </c>
      <c r="I146" s="15">
        <v>7</v>
      </c>
      <c r="J146" s="17">
        <v>12000</v>
      </c>
      <c r="K146" s="18">
        <v>0.1</v>
      </c>
      <c r="L146" s="17">
        <v>75600</v>
      </c>
      <c r="M146" s="15" t="s">
        <v>35</v>
      </c>
      <c r="N146" s="15" t="s">
        <v>36</v>
      </c>
    </row>
    <row r="147" spans="1:14" x14ac:dyDescent="0.3">
      <c r="A147" s="15">
        <v>1146</v>
      </c>
      <c r="B147" s="16">
        <v>45733</v>
      </c>
      <c r="C147" s="15" t="s">
        <v>14</v>
      </c>
      <c r="D147" s="15" t="s">
        <v>15</v>
      </c>
      <c r="E147" s="15" t="s">
        <v>16</v>
      </c>
      <c r="F147" s="15" t="s">
        <v>22</v>
      </c>
      <c r="G147" s="15" t="s">
        <v>18</v>
      </c>
      <c r="H147" s="15" t="s">
        <v>49</v>
      </c>
      <c r="I147" s="15">
        <v>6</v>
      </c>
      <c r="J147" s="17">
        <v>28000</v>
      </c>
      <c r="K147" s="18">
        <v>0.15</v>
      </c>
      <c r="L147" s="17">
        <v>142800</v>
      </c>
      <c r="M147" s="15" t="s">
        <v>43</v>
      </c>
      <c r="N147" s="15" t="s">
        <v>31</v>
      </c>
    </row>
    <row r="148" spans="1:14" x14ac:dyDescent="0.3">
      <c r="A148" s="15">
        <v>1147</v>
      </c>
      <c r="B148" s="16">
        <v>45916</v>
      </c>
      <c r="C148" s="15" t="s">
        <v>70</v>
      </c>
      <c r="D148" s="15" t="s">
        <v>71</v>
      </c>
      <c r="E148" s="15" t="s">
        <v>52</v>
      </c>
      <c r="F148" s="15" t="s">
        <v>41</v>
      </c>
      <c r="G148" s="15" t="s">
        <v>28</v>
      </c>
      <c r="H148" s="15" t="s">
        <v>66</v>
      </c>
      <c r="I148" s="15">
        <v>5</v>
      </c>
      <c r="J148" s="17">
        <v>11000</v>
      </c>
      <c r="K148" s="18">
        <v>0.1</v>
      </c>
      <c r="L148" s="17">
        <v>49500</v>
      </c>
      <c r="M148" s="15" t="s">
        <v>20</v>
      </c>
      <c r="N148" s="15" t="s">
        <v>21</v>
      </c>
    </row>
    <row r="149" spans="1:14" x14ac:dyDescent="0.3">
      <c r="A149" s="15">
        <v>1148</v>
      </c>
      <c r="B149" s="16">
        <v>45774</v>
      </c>
      <c r="C149" s="15" t="s">
        <v>24</v>
      </c>
      <c r="D149" s="15" t="s">
        <v>25</v>
      </c>
      <c r="E149" s="15" t="s">
        <v>26</v>
      </c>
      <c r="F149" s="15" t="s">
        <v>41</v>
      </c>
      <c r="G149" s="15" t="s">
        <v>42</v>
      </c>
      <c r="H149" s="15" t="s">
        <v>73</v>
      </c>
      <c r="I149" s="15">
        <v>7</v>
      </c>
      <c r="J149" s="17">
        <v>2500</v>
      </c>
      <c r="K149" s="18">
        <v>0.1</v>
      </c>
      <c r="L149" s="17">
        <v>15750</v>
      </c>
      <c r="M149" s="15" t="s">
        <v>35</v>
      </c>
      <c r="N149" s="15" t="s">
        <v>31</v>
      </c>
    </row>
    <row r="150" spans="1:14" x14ac:dyDescent="0.3">
      <c r="A150" s="15">
        <v>1149</v>
      </c>
      <c r="B150" s="16">
        <v>45876</v>
      </c>
      <c r="C150" s="15" t="s">
        <v>68</v>
      </c>
      <c r="D150" s="15" t="s">
        <v>69</v>
      </c>
      <c r="E150" s="15" t="s">
        <v>16</v>
      </c>
      <c r="F150" s="15" t="s">
        <v>27</v>
      </c>
      <c r="G150" s="15" t="s">
        <v>37</v>
      </c>
      <c r="H150" s="15" t="s">
        <v>49</v>
      </c>
      <c r="I150" s="15">
        <v>2</v>
      </c>
      <c r="J150" s="17">
        <v>15000</v>
      </c>
      <c r="K150" s="18">
        <v>0.05</v>
      </c>
      <c r="L150" s="17">
        <v>28500</v>
      </c>
      <c r="M150" s="15" t="s">
        <v>43</v>
      </c>
      <c r="N150" s="15" t="s">
        <v>36</v>
      </c>
    </row>
    <row r="151" spans="1:14" x14ac:dyDescent="0.3">
      <c r="A151" s="15">
        <v>1150</v>
      </c>
      <c r="B151" s="16">
        <v>45701</v>
      </c>
      <c r="C151" s="15" t="s">
        <v>53</v>
      </c>
      <c r="D151" s="15" t="s">
        <v>54</v>
      </c>
      <c r="E151" s="15" t="s">
        <v>55</v>
      </c>
      <c r="F151" s="15" t="s">
        <v>22</v>
      </c>
      <c r="G151" s="15" t="s">
        <v>58</v>
      </c>
      <c r="H151" s="15" t="s">
        <v>84</v>
      </c>
      <c r="I151" s="15">
        <v>2</v>
      </c>
      <c r="J151" s="17">
        <v>12000</v>
      </c>
      <c r="K151" s="18">
        <v>0</v>
      </c>
      <c r="L151" s="17">
        <v>24000</v>
      </c>
      <c r="M151" s="15" t="s">
        <v>43</v>
      </c>
      <c r="N151" s="15" t="s">
        <v>36</v>
      </c>
    </row>
    <row r="152" spans="1:14" x14ac:dyDescent="0.3">
      <c r="A152" s="15">
        <v>1011</v>
      </c>
      <c r="B152" s="16">
        <v>45860</v>
      </c>
      <c r="C152" s="15" t="s">
        <v>32</v>
      </c>
      <c r="D152" s="15" t="s">
        <v>33</v>
      </c>
      <c r="E152" s="15" t="s">
        <v>26</v>
      </c>
      <c r="F152" s="15" t="s">
        <v>41</v>
      </c>
      <c r="G152" s="15" t="s">
        <v>18</v>
      </c>
      <c r="H152" s="15" t="s">
        <v>49</v>
      </c>
      <c r="I152" s="15">
        <v>4</v>
      </c>
      <c r="J152" s="15">
        <v>800</v>
      </c>
      <c r="K152" s="18">
        <v>0.1</v>
      </c>
      <c r="L152" s="17">
        <v>2880</v>
      </c>
      <c r="M152" s="15" t="s">
        <v>30</v>
      </c>
      <c r="N152" s="15" t="s">
        <v>36</v>
      </c>
    </row>
    <row r="153" spans="1:14" x14ac:dyDescent="0.3">
      <c r="A153" s="15">
        <v>1026</v>
      </c>
      <c r="B153" s="16">
        <v>45864</v>
      </c>
      <c r="C153" s="15" t="s">
        <v>47</v>
      </c>
      <c r="D153" s="15" t="s">
        <v>48</v>
      </c>
      <c r="E153" s="15" t="s">
        <v>16</v>
      </c>
      <c r="F153" s="15" t="s">
        <v>27</v>
      </c>
      <c r="G153" s="15" t="s">
        <v>28</v>
      </c>
      <c r="H153" s="15" t="s">
        <v>23</v>
      </c>
      <c r="I153" s="15">
        <v>2</v>
      </c>
      <c r="J153" s="17">
        <v>55000</v>
      </c>
      <c r="K153" s="18">
        <v>0</v>
      </c>
      <c r="L153" s="17">
        <v>110000</v>
      </c>
      <c r="M153" s="15" t="s">
        <v>30</v>
      </c>
      <c r="N153" s="15" t="s">
        <v>36</v>
      </c>
    </row>
    <row r="154" spans="1:14" x14ac:dyDescent="0.3">
      <c r="A154" s="15">
        <v>1071</v>
      </c>
      <c r="B154" s="16">
        <v>45699</v>
      </c>
      <c r="C154" s="15" t="s">
        <v>39</v>
      </c>
      <c r="D154" s="15" t="s">
        <v>40</v>
      </c>
      <c r="E154" s="15" t="s">
        <v>26</v>
      </c>
      <c r="F154" s="15" t="s">
        <v>41</v>
      </c>
      <c r="G154" s="15" t="s">
        <v>28</v>
      </c>
      <c r="H154" s="15" t="s">
        <v>19</v>
      </c>
      <c r="I154" s="15">
        <v>7</v>
      </c>
      <c r="J154" s="17">
        <v>1200</v>
      </c>
      <c r="K154" s="18">
        <v>0.05</v>
      </c>
      <c r="L154" s="17">
        <v>7980</v>
      </c>
      <c r="M154" s="15" t="s">
        <v>20</v>
      </c>
      <c r="N154" s="15"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0106-4807-4DC1-89CE-523B7077BF1A}">
  <dimension ref="A1:S151"/>
  <sheetViews>
    <sheetView topLeftCell="C1" zoomScale="89" workbookViewId="0">
      <pane ySplit="1" topLeftCell="A2" activePane="bottomLeft" state="frozen"/>
      <selection pane="bottomLeft" activeCell="S2" sqref="S2"/>
    </sheetView>
  </sheetViews>
  <sheetFormatPr defaultRowHeight="14.4" x14ac:dyDescent="0.3"/>
  <cols>
    <col min="1" max="1" width="9.88671875" customWidth="1"/>
    <col min="2" max="2" width="15.6640625" customWidth="1"/>
    <col min="3" max="3" width="12.44140625" customWidth="1"/>
    <col min="4" max="4" width="9.5546875" customWidth="1"/>
    <col min="5" max="5" width="10.44140625" customWidth="1"/>
    <col min="7" max="7" width="12.88671875" customWidth="1"/>
    <col min="8" max="8" width="11" customWidth="1"/>
    <col min="9" max="9" width="10.21875" customWidth="1"/>
    <col min="10" max="10" width="11" customWidth="1"/>
    <col min="11" max="11" width="10.21875" customWidth="1"/>
    <col min="12" max="12" width="14.44140625" customWidth="1"/>
    <col min="13" max="13" width="17.6640625" customWidth="1"/>
    <col min="14" max="14" width="13.33203125" customWidth="1"/>
    <col min="15" max="15" width="15.44140625" customWidth="1"/>
    <col min="16" max="16" width="15.5546875" customWidth="1"/>
    <col min="17" max="17" width="13.5546875" customWidth="1"/>
    <col min="18" max="18" width="11" customWidth="1"/>
    <col min="19" max="19" width="14.109375" customWidth="1"/>
  </cols>
  <sheetData>
    <row r="1" spans="1:19" x14ac:dyDescent="0.3">
      <c r="A1" s="1" t="s">
        <v>0</v>
      </c>
      <c r="B1" s="6" t="s">
        <v>1</v>
      </c>
      <c r="C1" s="1" t="s">
        <v>2</v>
      </c>
      <c r="D1" s="1" t="s">
        <v>3</v>
      </c>
      <c r="E1" s="1" t="s">
        <v>4</v>
      </c>
      <c r="F1" s="1" t="s">
        <v>5</v>
      </c>
      <c r="G1" s="1" t="s">
        <v>6</v>
      </c>
      <c r="H1" s="1" t="s">
        <v>7</v>
      </c>
      <c r="I1" s="1" t="s">
        <v>8</v>
      </c>
      <c r="J1" s="1" t="s">
        <v>9</v>
      </c>
      <c r="K1" s="1" t="s">
        <v>10</v>
      </c>
      <c r="L1" s="1" t="s">
        <v>11</v>
      </c>
      <c r="M1" s="1" t="s">
        <v>12</v>
      </c>
      <c r="N1" s="1" t="s">
        <v>13</v>
      </c>
      <c r="O1" s="12" t="s">
        <v>90</v>
      </c>
      <c r="P1" s="12" t="s">
        <v>91</v>
      </c>
      <c r="Q1" s="12" t="s">
        <v>92</v>
      </c>
      <c r="R1" s="13" t="s">
        <v>93</v>
      </c>
      <c r="S1" s="13" t="s">
        <v>108</v>
      </c>
    </row>
    <row r="2" spans="1:19" x14ac:dyDescent="0.3">
      <c r="A2" s="3">
        <v>1001</v>
      </c>
      <c r="B2" s="7">
        <v>45783</v>
      </c>
      <c r="C2" s="3" t="s">
        <v>14</v>
      </c>
      <c r="D2" s="3" t="s">
        <v>15</v>
      </c>
      <c r="E2" s="3" t="s">
        <v>16</v>
      </c>
      <c r="F2" s="3" t="s">
        <v>17</v>
      </c>
      <c r="G2" s="3" t="s">
        <v>18</v>
      </c>
      <c r="H2" s="3" t="s">
        <v>19</v>
      </c>
      <c r="I2" s="3">
        <v>1</v>
      </c>
      <c r="J2" s="4">
        <v>28000</v>
      </c>
      <c r="K2" s="5">
        <v>0.05</v>
      </c>
      <c r="L2" s="4">
        <v>26600</v>
      </c>
      <c r="M2" s="3" t="s">
        <v>20</v>
      </c>
      <c r="N2" s="3" t="s">
        <v>21</v>
      </c>
      <c r="O2" t="str">
        <f>VLOOKUP("P002", C2:D13, 2, FALSE)</f>
        <v>Smartphone</v>
      </c>
      <c r="P2" t="str">
        <f>IF(L2&gt;100000, "High Sale", "Low Sale")</f>
        <v>Low Sale</v>
      </c>
      <c r="Q2" s="2" t="str">
        <f>INDEX('Cleaned data'!D2:D120,MATCH(1101,'Cleaned data'!A2:A120,0))</f>
        <v>Desk</v>
      </c>
      <c r="R2" s="2" t="str">
        <f t="shared" ref="R2:R33" si="0">IF(L2&gt;=100000,"Excellent",IF(L2&gt;=50000,"Good","Average"))</f>
        <v>Average</v>
      </c>
      <c r="S2" s="2">
        <f>ROWS(Table1[Order ID])</f>
        <v>150</v>
      </c>
    </row>
    <row r="3" spans="1:19" x14ac:dyDescent="0.3">
      <c r="A3" s="3">
        <v>1002</v>
      </c>
      <c r="B3" s="7">
        <v>45673</v>
      </c>
      <c r="C3" s="3" t="s">
        <v>14</v>
      </c>
      <c r="D3" s="3" t="s">
        <v>15</v>
      </c>
      <c r="E3" s="3" t="s">
        <v>16</v>
      </c>
      <c r="F3" s="3" t="s">
        <v>22</v>
      </c>
      <c r="G3" s="3" t="s">
        <v>18</v>
      </c>
      <c r="H3" s="3" t="s">
        <v>23</v>
      </c>
      <c r="I3" s="3">
        <v>7</v>
      </c>
      <c r="J3" s="4">
        <v>28000</v>
      </c>
      <c r="K3" s="5">
        <v>0</v>
      </c>
      <c r="L3" s="4">
        <v>196000</v>
      </c>
      <c r="M3" s="3" t="s">
        <v>20</v>
      </c>
      <c r="N3" s="3" t="s">
        <v>21</v>
      </c>
      <c r="O3" s="2"/>
      <c r="P3" s="2" t="str">
        <f t="shared" ref="P3:P66" si="1">IF(L3&gt;100000, "High Sale", "Low Sale")</f>
        <v>High Sale</v>
      </c>
      <c r="Q3" s="2"/>
      <c r="R3" t="str">
        <f t="shared" si="0"/>
        <v>Excellent</v>
      </c>
      <c r="S3">
        <f>ROWS(Table1[Order ID])</f>
        <v>150</v>
      </c>
    </row>
    <row r="4" spans="1:19" x14ac:dyDescent="0.3">
      <c r="A4" s="3">
        <v>1003</v>
      </c>
      <c r="B4" s="7">
        <v>45887</v>
      </c>
      <c r="C4" s="3" t="s">
        <v>24</v>
      </c>
      <c r="D4" s="3" t="s">
        <v>25</v>
      </c>
      <c r="E4" s="3" t="s">
        <v>26</v>
      </c>
      <c r="F4" s="3" t="s">
        <v>27</v>
      </c>
      <c r="G4" s="3" t="s">
        <v>28</v>
      </c>
      <c r="H4" s="3" t="s">
        <v>29</v>
      </c>
      <c r="I4" s="3">
        <v>7</v>
      </c>
      <c r="J4" s="4">
        <v>2500</v>
      </c>
      <c r="K4" s="5">
        <v>0</v>
      </c>
      <c r="L4" s="4">
        <v>17500</v>
      </c>
      <c r="M4" s="3" t="s">
        <v>30</v>
      </c>
      <c r="N4" s="3" t="s">
        <v>31</v>
      </c>
      <c r="O4" s="2"/>
      <c r="P4" s="2" t="str">
        <f t="shared" si="1"/>
        <v>Low Sale</v>
      </c>
      <c r="Q4" s="2"/>
      <c r="R4" t="str">
        <f t="shared" si="0"/>
        <v>Average</v>
      </c>
      <c r="S4">
        <f>ROWS(Table1[Order ID])</f>
        <v>150</v>
      </c>
    </row>
    <row r="5" spans="1:19" x14ac:dyDescent="0.3">
      <c r="A5" s="3">
        <v>1004</v>
      </c>
      <c r="B5" s="7">
        <v>45768</v>
      </c>
      <c r="C5" s="3" t="s">
        <v>32</v>
      </c>
      <c r="D5" s="3" t="s">
        <v>33</v>
      </c>
      <c r="E5" s="3" t="s">
        <v>26</v>
      </c>
      <c r="F5" s="3" t="s">
        <v>27</v>
      </c>
      <c r="G5" s="3" t="s">
        <v>28</v>
      </c>
      <c r="H5" s="3" t="s">
        <v>34</v>
      </c>
      <c r="I5" s="3">
        <v>5</v>
      </c>
      <c r="J5" s="4">
        <v>800</v>
      </c>
      <c r="K5" s="5">
        <v>0</v>
      </c>
      <c r="L5" s="4">
        <v>4000</v>
      </c>
      <c r="M5" s="3" t="s">
        <v>35</v>
      </c>
      <c r="N5" s="3" t="s">
        <v>36</v>
      </c>
      <c r="O5" s="2"/>
      <c r="P5" s="2" t="str">
        <f t="shared" si="1"/>
        <v>Low Sale</v>
      </c>
      <c r="Q5" s="2"/>
      <c r="R5" t="str">
        <f t="shared" si="0"/>
        <v>Average</v>
      </c>
      <c r="S5">
        <f>ROWS(Table1[Order ID])</f>
        <v>150</v>
      </c>
    </row>
    <row r="6" spans="1:19" x14ac:dyDescent="0.3">
      <c r="A6" s="3">
        <v>1005</v>
      </c>
      <c r="B6" s="7">
        <v>45793</v>
      </c>
      <c r="C6" s="3" t="s">
        <v>32</v>
      </c>
      <c r="D6" s="3" t="s">
        <v>33</v>
      </c>
      <c r="E6" s="3" t="s">
        <v>26</v>
      </c>
      <c r="F6" s="3" t="s">
        <v>22</v>
      </c>
      <c r="G6" s="3" t="s">
        <v>37</v>
      </c>
      <c r="H6" s="3" t="s">
        <v>38</v>
      </c>
      <c r="I6" s="3">
        <v>6</v>
      </c>
      <c r="J6" s="4">
        <v>800</v>
      </c>
      <c r="K6" s="5">
        <v>0.15</v>
      </c>
      <c r="L6" s="4">
        <v>4080</v>
      </c>
      <c r="M6" s="3" t="s">
        <v>20</v>
      </c>
      <c r="N6" s="3" t="s">
        <v>31</v>
      </c>
      <c r="O6" s="2"/>
      <c r="P6" s="2" t="str">
        <f t="shared" si="1"/>
        <v>Low Sale</v>
      </c>
      <c r="Q6" s="2"/>
      <c r="R6" t="str">
        <f t="shared" si="0"/>
        <v>Average</v>
      </c>
      <c r="S6">
        <f>ROWS(Table1[Order ID])</f>
        <v>150</v>
      </c>
    </row>
    <row r="7" spans="1:19" x14ac:dyDescent="0.3">
      <c r="A7" s="3">
        <v>1006</v>
      </c>
      <c r="B7" s="7">
        <v>45843</v>
      </c>
      <c r="C7" s="3" t="s">
        <v>14</v>
      </c>
      <c r="D7" s="3" t="s">
        <v>15</v>
      </c>
      <c r="E7" s="3" t="s">
        <v>16</v>
      </c>
      <c r="F7" s="3" t="s">
        <v>17</v>
      </c>
      <c r="G7" s="3" t="s">
        <v>37</v>
      </c>
      <c r="H7" s="3" t="s">
        <v>34</v>
      </c>
      <c r="I7" s="3">
        <v>5</v>
      </c>
      <c r="J7" s="4">
        <v>28000</v>
      </c>
      <c r="K7" s="5">
        <v>0.15</v>
      </c>
      <c r="L7" s="4">
        <v>119000</v>
      </c>
      <c r="M7" s="3" t="s">
        <v>20</v>
      </c>
      <c r="N7" s="3" t="s">
        <v>36</v>
      </c>
      <c r="O7" s="2"/>
      <c r="P7" s="2" t="str">
        <f t="shared" si="1"/>
        <v>High Sale</v>
      </c>
      <c r="Q7" s="2"/>
      <c r="R7" t="str">
        <f t="shared" si="0"/>
        <v>Excellent</v>
      </c>
      <c r="S7">
        <f>ROWS(Table1[Order ID])</f>
        <v>150</v>
      </c>
    </row>
    <row r="8" spans="1:19" x14ac:dyDescent="0.3">
      <c r="A8" s="3">
        <v>1007</v>
      </c>
      <c r="B8" s="7">
        <v>45709</v>
      </c>
      <c r="C8" s="3" t="s">
        <v>39</v>
      </c>
      <c r="D8" s="3" t="s">
        <v>40</v>
      </c>
      <c r="E8" s="3" t="s">
        <v>26</v>
      </c>
      <c r="F8" s="3" t="s">
        <v>41</v>
      </c>
      <c r="G8" s="3" t="s">
        <v>42</v>
      </c>
      <c r="H8" s="3" t="s">
        <v>38</v>
      </c>
      <c r="I8" s="3">
        <v>2</v>
      </c>
      <c r="J8" s="4">
        <v>1200</v>
      </c>
      <c r="K8" s="5">
        <v>0</v>
      </c>
      <c r="L8" s="4">
        <v>2400</v>
      </c>
      <c r="M8" s="3" t="s">
        <v>43</v>
      </c>
      <c r="N8" s="3" t="s">
        <v>36</v>
      </c>
      <c r="O8" s="2"/>
      <c r="P8" s="2" t="str">
        <f t="shared" si="1"/>
        <v>Low Sale</v>
      </c>
      <c r="Q8" s="2"/>
      <c r="R8" t="str">
        <f t="shared" si="0"/>
        <v>Average</v>
      </c>
      <c r="S8">
        <f>ROWS(Table1[Order ID])</f>
        <v>150</v>
      </c>
    </row>
    <row r="9" spans="1:19" x14ac:dyDescent="0.3">
      <c r="A9" s="3">
        <v>1008</v>
      </c>
      <c r="B9" s="7">
        <v>46001</v>
      </c>
      <c r="C9" s="3" t="s">
        <v>32</v>
      </c>
      <c r="D9" s="3" t="s">
        <v>33</v>
      </c>
      <c r="E9" s="3" t="s">
        <v>26</v>
      </c>
      <c r="F9" s="3" t="s">
        <v>27</v>
      </c>
      <c r="G9" s="3" t="s">
        <v>37</v>
      </c>
      <c r="H9" s="3" t="s">
        <v>44</v>
      </c>
      <c r="I9" s="3">
        <v>6</v>
      </c>
      <c r="J9" s="4">
        <v>800</v>
      </c>
      <c r="K9" s="5">
        <v>0</v>
      </c>
      <c r="L9" s="4">
        <v>4800</v>
      </c>
      <c r="M9" s="3" t="s">
        <v>20</v>
      </c>
      <c r="N9" s="3" t="s">
        <v>21</v>
      </c>
      <c r="O9" s="2"/>
      <c r="P9" s="2" t="str">
        <f t="shared" si="1"/>
        <v>Low Sale</v>
      </c>
      <c r="Q9" s="2"/>
      <c r="R9" t="str">
        <f t="shared" si="0"/>
        <v>Average</v>
      </c>
      <c r="S9">
        <f>ROWS(Table1[Order ID])</f>
        <v>150</v>
      </c>
    </row>
    <row r="10" spans="1:19" x14ac:dyDescent="0.3">
      <c r="A10" s="3">
        <v>1009</v>
      </c>
      <c r="B10" s="7">
        <v>45894</v>
      </c>
      <c r="C10" s="3" t="s">
        <v>45</v>
      </c>
      <c r="D10" s="3" t="s">
        <v>46</v>
      </c>
      <c r="E10" s="3" t="s">
        <v>16</v>
      </c>
      <c r="F10" s="3" t="s">
        <v>41</v>
      </c>
      <c r="G10" s="3" t="s">
        <v>42</v>
      </c>
      <c r="H10" s="3" t="s">
        <v>44</v>
      </c>
      <c r="I10" s="3">
        <v>4</v>
      </c>
      <c r="J10" s="4">
        <v>22000</v>
      </c>
      <c r="K10" s="5">
        <v>0</v>
      </c>
      <c r="L10" s="4">
        <v>88000</v>
      </c>
      <c r="M10" s="3" t="s">
        <v>30</v>
      </c>
      <c r="N10" s="3" t="s">
        <v>36</v>
      </c>
      <c r="O10" s="2"/>
      <c r="P10" s="2" t="str">
        <f t="shared" si="1"/>
        <v>Low Sale</v>
      </c>
      <c r="Q10" s="2"/>
      <c r="R10" t="str">
        <f t="shared" si="0"/>
        <v>Good</v>
      </c>
      <c r="S10">
        <f>ROWS(Table1[Order ID])</f>
        <v>150</v>
      </c>
    </row>
    <row r="11" spans="1:19" x14ac:dyDescent="0.3">
      <c r="A11" s="3">
        <v>1010</v>
      </c>
      <c r="B11" s="7">
        <v>45819</v>
      </c>
      <c r="C11" s="3" t="s">
        <v>47</v>
      </c>
      <c r="D11" s="3" t="s">
        <v>48</v>
      </c>
      <c r="E11" s="3" t="s">
        <v>16</v>
      </c>
      <c r="F11" s="3" t="s">
        <v>41</v>
      </c>
      <c r="G11" s="3" t="s">
        <v>42</v>
      </c>
      <c r="H11" s="3" t="s">
        <v>34</v>
      </c>
      <c r="I11" s="3">
        <v>4</v>
      </c>
      <c r="J11" s="4">
        <v>55000</v>
      </c>
      <c r="K11" s="5">
        <v>0</v>
      </c>
      <c r="L11" s="4">
        <v>220000</v>
      </c>
      <c r="M11" s="3" t="s">
        <v>30</v>
      </c>
      <c r="N11" s="3" t="s">
        <v>21</v>
      </c>
      <c r="O11" s="2"/>
      <c r="P11" s="2" t="str">
        <f t="shared" si="1"/>
        <v>High Sale</v>
      </c>
      <c r="Q11" s="2"/>
      <c r="R11" t="str">
        <f t="shared" si="0"/>
        <v>Excellent</v>
      </c>
      <c r="S11">
        <f>ROWS(Table1[Order ID])</f>
        <v>150</v>
      </c>
    </row>
    <row r="12" spans="1:19" x14ac:dyDescent="0.3">
      <c r="A12" s="3">
        <v>1011</v>
      </c>
      <c r="B12" s="7">
        <v>45860</v>
      </c>
      <c r="C12" s="3" t="s">
        <v>32</v>
      </c>
      <c r="D12" s="3" t="s">
        <v>33</v>
      </c>
      <c r="E12" s="3" t="s">
        <v>26</v>
      </c>
      <c r="F12" s="3" t="s">
        <v>41</v>
      </c>
      <c r="G12" s="3" t="s">
        <v>18</v>
      </c>
      <c r="H12" s="3" t="s">
        <v>49</v>
      </c>
      <c r="I12" s="3">
        <v>4</v>
      </c>
      <c r="J12" s="4">
        <v>800</v>
      </c>
      <c r="K12" s="5">
        <v>0.1</v>
      </c>
      <c r="L12" s="4">
        <v>2880</v>
      </c>
      <c r="M12" s="3" t="s">
        <v>30</v>
      </c>
      <c r="N12" s="3" t="s">
        <v>36</v>
      </c>
      <c r="O12" s="2"/>
      <c r="P12" s="2" t="str">
        <f t="shared" si="1"/>
        <v>Low Sale</v>
      </c>
      <c r="Q12" s="2"/>
      <c r="R12" t="str">
        <f t="shared" si="0"/>
        <v>Average</v>
      </c>
      <c r="S12">
        <f>ROWS(Table1[Order ID])</f>
        <v>150</v>
      </c>
    </row>
    <row r="13" spans="1:19" x14ac:dyDescent="0.3">
      <c r="A13" s="3">
        <v>1012</v>
      </c>
      <c r="B13" s="7">
        <v>45877</v>
      </c>
      <c r="C13" s="3" t="s">
        <v>50</v>
      </c>
      <c r="D13" s="3" t="s">
        <v>51</v>
      </c>
      <c r="E13" s="3" t="s">
        <v>52</v>
      </c>
      <c r="F13" s="3" t="s">
        <v>41</v>
      </c>
      <c r="G13" s="3" t="s">
        <v>42</v>
      </c>
      <c r="H13" s="3" t="s">
        <v>23</v>
      </c>
      <c r="I13" s="3">
        <v>5</v>
      </c>
      <c r="J13" s="4">
        <v>8500</v>
      </c>
      <c r="K13" s="5">
        <v>0.15</v>
      </c>
      <c r="L13" s="4">
        <v>36125</v>
      </c>
      <c r="M13" s="3" t="s">
        <v>30</v>
      </c>
      <c r="N13" s="3" t="s">
        <v>21</v>
      </c>
      <c r="O13" s="2"/>
      <c r="P13" s="2" t="str">
        <f t="shared" si="1"/>
        <v>Low Sale</v>
      </c>
      <c r="Q13" s="2"/>
      <c r="R13" t="str">
        <f t="shared" si="0"/>
        <v>Average</v>
      </c>
      <c r="S13">
        <f>ROWS(Table1[Order ID])</f>
        <v>150</v>
      </c>
    </row>
    <row r="14" spans="1:19" x14ac:dyDescent="0.3">
      <c r="A14" s="3">
        <v>1013</v>
      </c>
      <c r="B14" s="7">
        <v>45714</v>
      </c>
      <c r="C14" s="3" t="s">
        <v>53</v>
      </c>
      <c r="D14" s="3" t="s">
        <v>54</v>
      </c>
      <c r="E14" s="3" t="s">
        <v>55</v>
      </c>
      <c r="F14" s="3" t="s">
        <v>17</v>
      </c>
      <c r="G14" s="3" t="s">
        <v>37</v>
      </c>
      <c r="H14" s="3" t="s">
        <v>56</v>
      </c>
      <c r="I14" s="3">
        <v>2</v>
      </c>
      <c r="J14" s="4">
        <v>12000</v>
      </c>
      <c r="K14" s="5">
        <v>0</v>
      </c>
      <c r="L14" s="4">
        <v>24000</v>
      </c>
      <c r="M14" s="3" t="s">
        <v>35</v>
      </c>
      <c r="N14" s="3" t="s">
        <v>21</v>
      </c>
      <c r="O14" s="2"/>
      <c r="P14" s="2" t="str">
        <f t="shared" si="1"/>
        <v>Low Sale</v>
      </c>
      <c r="Q14" s="2"/>
      <c r="R14" t="str">
        <f t="shared" si="0"/>
        <v>Average</v>
      </c>
      <c r="S14">
        <f>ROWS(Table1[Order ID])</f>
        <v>150</v>
      </c>
    </row>
    <row r="15" spans="1:19" x14ac:dyDescent="0.3">
      <c r="A15" s="3">
        <v>1014</v>
      </c>
      <c r="B15" s="7">
        <v>45963</v>
      </c>
      <c r="C15" s="3" t="s">
        <v>14</v>
      </c>
      <c r="D15" s="3" t="s">
        <v>15</v>
      </c>
      <c r="E15" s="3" t="s">
        <v>16</v>
      </c>
      <c r="F15" s="3" t="s">
        <v>41</v>
      </c>
      <c r="G15" s="3" t="s">
        <v>57</v>
      </c>
      <c r="H15" s="3" t="s">
        <v>49</v>
      </c>
      <c r="I15" s="3">
        <v>7</v>
      </c>
      <c r="J15" s="4">
        <v>28000</v>
      </c>
      <c r="K15" s="5">
        <v>0.1</v>
      </c>
      <c r="L15" s="4">
        <v>176400</v>
      </c>
      <c r="M15" s="3" t="s">
        <v>20</v>
      </c>
      <c r="N15" s="3" t="s">
        <v>36</v>
      </c>
      <c r="O15" s="2"/>
      <c r="P15" s="2" t="str">
        <f t="shared" si="1"/>
        <v>High Sale</v>
      </c>
      <c r="Q15" s="2"/>
      <c r="R15" t="str">
        <f t="shared" si="0"/>
        <v>Excellent</v>
      </c>
      <c r="S15">
        <f>ROWS(Table1[Order ID])</f>
        <v>150</v>
      </c>
    </row>
    <row r="16" spans="1:19" x14ac:dyDescent="0.3">
      <c r="A16" s="3">
        <v>1015</v>
      </c>
      <c r="B16" s="7">
        <v>45715</v>
      </c>
      <c r="C16" s="3" t="s">
        <v>50</v>
      </c>
      <c r="D16" s="3" t="s">
        <v>51</v>
      </c>
      <c r="E16" s="3" t="s">
        <v>52</v>
      </c>
      <c r="F16" s="3" t="s">
        <v>27</v>
      </c>
      <c r="G16" s="3" t="s">
        <v>58</v>
      </c>
      <c r="H16" s="3" t="s">
        <v>56</v>
      </c>
      <c r="I16" s="3">
        <v>5</v>
      </c>
      <c r="J16" s="4">
        <v>8500</v>
      </c>
      <c r="K16" s="5">
        <v>0.05</v>
      </c>
      <c r="L16" s="4">
        <v>40375</v>
      </c>
      <c r="M16" s="3" t="s">
        <v>35</v>
      </c>
      <c r="N16" s="3" t="s">
        <v>36</v>
      </c>
      <c r="O16" s="2"/>
      <c r="P16" s="2" t="str">
        <f t="shared" si="1"/>
        <v>Low Sale</v>
      </c>
      <c r="Q16" s="2"/>
      <c r="R16" t="str">
        <f t="shared" si="0"/>
        <v>Average</v>
      </c>
      <c r="S16">
        <f>ROWS(Table1[Order ID])</f>
        <v>150</v>
      </c>
    </row>
    <row r="17" spans="1:19" x14ac:dyDescent="0.3">
      <c r="A17" s="3">
        <v>1016</v>
      </c>
      <c r="B17" s="7">
        <v>45712</v>
      </c>
      <c r="C17" s="3" t="s">
        <v>39</v>
      </c>
      <c r="D17" s="3" t="s">
        <v>40</v>
      </c>
      <c r="E17" s="3" t="s">
        <v>26</v>
      </c>
      <c r="F17" s="3" t="s">
        <v>27</v>
      </c>
      <c r="G17" s="3" t="s">
        <v>37</v>
      </c>
      <c r="H17" s="3" t="s">
        <v>59</v>
      </c>
      <c r="I17" s="3">
        <v>3</v>
      </c>
      <c r="J17" s="4">
        <v>1200</v>
      </c>
      <c r="K17" s="5">
        <v>0.15</v>
      </c>
      <c r="L17" s="4">
        <v>3060</v>
      </c>
      <c r="M17" s="3" t="s">
        <v>30</v>
      </c>
      <c r="N17" s="3" t="s">
        <v>36</v>
      </c>
      <c r="O17" s="2"/>
      <c r="P17" s="2" t="str">
        <f t="shared" si="1"/>
        <v>Low Sale</v>
      </c>
      <c r="Q17" s="2"/>
      <c r="R17" t="str">
        <f t="shared" si="0"/>
        <v>Average</v>
      </c>
      <c r="S17">
        <f>ROWS(Table1[Order ID])</f>
        <v>150</v>
      </c>
    </row>
    <row r="18" spans="1:19" x14ac:dyDescent="0.3">
      <c r="A18" s="3">
        <v>1017</v>
      </c>
      <c r="B18" s="7">
        <v>45929</v>
      </c>
      <c r="C18" s="3" t="s">
        <v>32</v>
      </c>
      <c r="D18" s="3" t="s">
        <v>33</v>
      </c>
      <c r="E18" s="3" t="s">
        <v>26</v>
      </c>
      <c r="F18" s="3" t="s">
        <v>22</v>
      </c>
      <c r="G18" s="3" t="s">
        <v>57</v>
      </c>
      <c r="H18" s="3" t="s">
        <v>60</v>
      </c>
      <c r="I18" s="3">
        <v>3</v>
      </c>
      <c r="J18" s="4">
        <v>800</v>
      </c>
      <c r="K18" s="5">
        <v>0.15</v>
      </c>
      <c r="L18" s="4">
        <v>2040</v>
      </c>
      <c r="M18" s="3" t="s">
        <v>35</v>
      </c>
      <c r="N18" s="3" t="s">
        <v>36</v>
      </c>
      <c r="O18" s="2"/>
      <c r="P18" s="2" t="str">
        <f t="shared" si="1"/>
        <v>Low Sale</v>
      </c>
      <c r="Q18" s="2"/>
      <c r="R18" t="str">
        <f t="shared" si="0"/>
        <v>Average</v>
      </c>
      <c r="S18">
        <f>ROWS(Table1[Order ID])</f>
        <v>150</v>
      </c>
    </row>
    <row r="19" spans="1:19" x14ac:dyDescent="0.3">
      <c r="A19" s="3">
        <v>1018</v>
      </c>
      <c r="B19" s="7">
        <v>45780</v>
      </c>
      <c r="C19" s="3" t="s">
        <v>14</v>
      </c>
      <c r="D19" s="3" t="s">
        <v>15</v>
      </c>
      <c r="E19" s="3" t="s">
        <v>16</v>
      </c>
      <c r="F19" s="3" t="s">
        <v>22</v>
      </c>
      <c r="G19" s="3" t="s">
        <v>18</v>
      </c>
      <c r="H19" s="3" t="s">
        <v>61</v>
      </c>
      <c r="I19" s="3">
        <v>6</v>
      </c>
      <c r="J19" s="4">
        <v>28000</v>
      </c>
      <c r="K19" s="5">
        <v>0.05</v>
      </c>
      <c r="L19" s="4">
        <v>159600</v>
      </c>
      <c r="M19" s="3" t="s">
        <v>20</v>
      </c>
      <c r="N19" s="3" t="s">
        <v>36</v>
      </c>
      <c r="O19" s="2"/>
      <c r="P19" s="2" t="str">
        <f t="shared" si="1"/>
        <v>High Sale</v>
      </c>
      <c r="Q19" s="2"/>
      <c r="R19" t="str">
        <f t="shared" si="0"/>
        <v>Excellent</v>
      </c>
      <c r="S19">
        <f>ROWS(Table1[Order ID])</f>
        <v>150</v>
      </c>
    </row>
    <row r="20" spans="1:19" x14ac:dyDescent="0.3">
      <c r="A20" s="3">
        <v>1019</v>
      </c>
      <c r="B20" s="7">
        <v>45722</v>
      </c>
      <c r="C20" s="3" t="s">
        <v>53</v>
      </c>
      <c r="D20" s="3" t="s">
        <v>54</v>
      </c>
      <c r="E20" s="3" t="s">
        <v>55</v>
      </c>
      <c r="F20" s="3" t="s">
        <v>17</v>
      </c>
      <c r="G20" s="3"/>
      <c r="H20" s="3" t="s">
        <v>62</v>
      </c>
      <c r="I20" s="3">
        <v>2</v>
      </c>
      <c r="J20" s="4">
        <v>12000</v>
      </c>
      <c r="K20" s="5">
        <v>0.15</v>
      </c>
      <c r="L20" s="4">
        <v>20400</v>
      </c>
      <c r="M20" s="3" t="s">
        <v>30</v>
      </c>
      <c r="N20" s="3" t="s">
        <v>36</v>
      </c>
      <c r="O20" s="2"/>
      <c r="P20" s="2" t="str">
        <f t="shared" si="1"/>
        <v>Low Sale</v>
      </c>
      <c r="Q20" s="2"/>
      <c r="R20" t="str">
        <f t="shared" si="0"/>
        <v>Average</v>
      </c>
      <c r="S20">
        <f>ROWS(Table1[Order ID])</f>
        <v>150</v>
      </c>
    </row>
    <row r="21" spans="1:19" x14ac:dyDescent="0.3">
      <c r="A21" s="3">
        <v>1020</v>
      </c>
      <c r="B21" s="7">
        <v>45934</v>
      </c>
      <c r="C21" s="3" t="s">
        <v>50</v>
      </c>
      <c r="D21" s="3" t="s">
        <v>51</v>
      </c>
      <c r="E21" s="3" t="s">
        <v>52</v>
      </c>
      <c r="F21" s="3" t="s">
        <v>17</v>
      </c>
      <c r="G21" s="3" t="s">
        <v>37</v>
      </c>
      <c r="H21" s="3" t="s">
        <v>63</v>
      </c>
      <c r="I21" s="3">
        <v>7</v>
      </c>
      <c r="J21" s="4">
        <v>8500</v>
      </c>
      <c r="K21" s="5">
        <v>0</v>
      </c>
      <c r="L21" s="4">
        <v>59500</v>
      </c>
      <c r="M21" s="3" t="s">
        <v>35</v>
      </c>
      <c r="N21" s="3" t="s">
        <v>36</v>
      </c>
      <c r="O21" s="2"/>
      <c r="P21" s="2" t="str">
        <f t="shared" si="1"/>
        <v>Low Sale</v>
      </c>
      <c r="Q21" s="2"/>
      <c r="R21" t="str">
        <f t="shared" si="0"/>
        <v>Good</v>
      </c>
      <c r="S21">
        <f>ROWS(Table1[Order ID])</f>
        <v>150</v>
      </c>
    </row>
    <row r="22" spans="1:19" x14ac:dyDescent="0.3">
      <c r="A22" s="3">
        <v>1021</v>
      </c>
      <c r="B22" s="7">
        <v>45784</v>
      </c>
      <c r="C22" s="3" t="s">
        <v>53</v>
      </c>
      <c r="D22" s="3" t="s">
        <v>54</v>
      </c>
      <c r="E22" s="3" t="s">
        <v>55</v>
      </c>
      <c r="F22" s="3" t="s">
        <v>17</v>
      </c>
      <c r="G22" s="3" t="s">
        <v>28</v>
      </c>
      <c r="H22" s="3" t="s">
        <v>60</v>
      </c>
      <c r="I22" s="3">
        <v>8</v>
      </c>
      <c r="J22" s="4">
        <v>12000</v>
      </c>
      <c r="K22" s="5">
        <v>0</v>
      </c>
      <c r="L22" s="4">
        <v>96000</v>
      </c>
      <c r="M22" s="3" t="s">
        <v>20</v>
      </c>
      <c r="N22" s="3" t="s">
        <v>21</v>
      </c>
      <c r="O22" s="2"/>
      <c r="P22" s="2" t="str">
        <f t="shared" si="1"/>
        <v>Low Sale</v>
      </c>
      <c r="Q22" s="2"/>
      <c r="R22" t="str">
        <f t="shared" si="0"/>
        <v>Good</v>
      </c>
      <c r="S22">
        <f>ROWS(Table1[Order ID])</f>
        <v>150</v>
      </c>
    </row>
    <row r="23" spans="1:19" x14ac:dyDescent="0.3">
      <c r="A23" s="3">
        <v>1022</v>
      </c>
      <c r="B23" s="7">
        <v>45770</v>
      </c>
      <c r="C23" s="3" t="s">
        <v>50</v>
      </c>
      <c r="D23" s="3" t="s">
        <v>51</v>
      </c>
      <c r="E23" s="3" t="s">
        <v>52</v>
      </c>
      <c r="F23" s="3" t="s">
        <v>22</v>
      </c>
      <c r="G23" s="3" t="s">
        <v>28</v>
      </c>
      <c r="H23" s="3" t="s">
        <v>64</v>
      </c>
      <c r="I23" s="3">
        <v>4</v>
      </c>
      <c r="J23" s="4">
        <v>8500</v>
      </c>
      <c r="K23" s="5">
        <v>0.15</v>
      </c>
      <c r="L23" s="4">
        <v>28900</v>
      </c>
      <c r="M23" s="3" t="s">
        <v>20</v>
      </c>
      <c r="N23" s="3" t="s">
        <v>36</v>
      </c>
      <c r="O23" s="2"/>
      <c r="P23" s="2" t="str">
        <f t="shared" si="1"/>
        <v>Low Sale</v>
      </c>
      <c r="Q23" s="2"/>
      <c r="R23" t="str">
        <f t="shared" si="0"/>
        <v>Average</v>
      </c>
      <c r="S23">
        <f>ROWS(Table1[Order ID])</f>
        <v>150</v>
      </c>
    </row>
    <row r="24" spans="1:19" x14ac:dyDescent="0.3">
      <c r="A24" s="3">
        <v>1023</v>
      </c>
      <c r="B24" s="7">
        <v>45694</v>
      </c>
      <c r="C24" s="3" t="s">
        <v>14</v>
      </c>
      <c r="D24" s="3" t="s">
        <v>15</v>
      </c>
      <c r="E24" s="3" t="s">
        <v>16</v>
      </c>
      <c r="F24" s="3" t="s">
        <v>17</v>
      </c>
      <c r="G24" s="3" t="s">
        <v>42</v>
      </c>
      <c r="H24" s="3" t="s">
        <v>65</v>
      </c>
      <c r="I24" s="3">
        <v>1</v>
      </c>
      <c r="J24" s="4">
        <v>28000</v>
      </c>
      <c r="K24" s="5">
        <v>0.05</v>
      </c>
      <c r="L24" s="4">
        <v>26600</v>
      </c>
      <c r="M24" s="3" t="s">
        <v>35</v>
      </c>
      <c r="N24" s="3" t="s">
        <v>36</v>
      </c>
      <c r="O24" s="2"/>
      <c r="P24" s="2" t="str">
        <f t="shared" si="1"/>
        <v>Low Sale</v>
      </c>
      <c r="Q24" s="2"/>
      <c r="R24" t="str">
        <f t="shared" si="0"/>
        <v>Average</v>
      </c>
      <c r="S24">
        <f>ROWS(Table1[Order ID])</f>
        <v>150</v>
      </c>
    </row>
    <row r="25" spans="1:19" x14ac:dyDescent="0.3">
      <c r="A25" s="3">
        <v>1024</v>
      </c>
      <c r="B25" s="7">
        <v>45953</v>
      </c>
      <c r="C25" s="3" t="s">
        <v>50</v>
      </c>
      <c r="D25" s="3" t="s">
        <v>51</v>
      </c>
      <c r="E25" s="3" t="s">
        <v>52</v>
      </c>
      <c r="F25" s="3" t="s">
        <v>41</v>
      </c>
      <c r="G25" s="3" t="s">
        <v>18</v>
      </c>
      <c r="H25" s="3" t="s">
        <v>66</v>
      </c>
      <c r="I25" s="3">
        <v>3</v>
      </c>
      <c r="J25" s="4">
        <v>8500</v>
      </c>
      <c r="K25" s="5">
        <v>0.15</v>
      </c>
      <c r="L25" s="4">
        <v>21675</v>
      </c>
      <c r="M25" s="3" t="s">
        <v>35</v>
      </c>
      <c r="N25" s="3" t="s">
        <v>31</v>
      </c>
      <c r="O25" s="2"/>
      <c r="P25" s="2" t="str">
        <f t="shared" si="1"/>
        <v>Low Sale</v>
      </c>
      <c r="Q25" s="2"/>
      <c r="R25" t="str">
        <f t="shared" si="0"/>
        <v>Average</v>
      </c>
      <c r="S25">
        <f>ROWS(Table1[Order ID])</f>
        <v>150</v>
      </c>
    </row>
    <row r="26" spans="1:19" x14ac:dyDescent="0.3">
      <c r="A26" s="3">
        <v>1025</v>
      </c>
      <c r="B26" s="7">
        <v>45995</v>
      </c>
      <c r="C26" s="3" t="s">
        <v>24</v>
      </c>
      <c r="D26" s="3" t="s">
        <v>25</v>
      </c>
      <c r="E26" s="3" t="s">
        <v>26</v>
      </c>
      <c r="F26" s="3" t="s">
        <v>41</v>
      </c>
      <c r="G26" s="3" t="s">
        <v>42</v>
      </c>
      <c r="H26" s="3" t="s">
        <v>67</v>
      </c>
      <c r="I26" s="3">
        <v>2</v>
      </c>
      <c r="J26" s="4">
        <v>2500</v>
      </c>
      <c r="K26" s="5">
        <v>0</v>
      </c>
      <c r="L26" s="4">
        <v>5000</v>
      </c>
      <c r="M26" s="3" t="s">
        <v>35</v>
      </c>
      <c r="N26" s="3" t="s">
        <v>31</v>
      </c>
      <c r="O26" s="2"/>
      <c r="P26" s="2" t="str">
        <f t="shared" si="1"/>
        <v>Low Sale</v>
      </c>
      <c r="Q26" s="2"/>
      <c r="R26" t="str">
        <f t="shared" si="0"/>
        <v>Average</v>
      </c>
      <c r="S26">
        <f>ROWS(Table1[Order ID])</f>
        <v>150</v>
      </c>
    </row>
    <row r="27" spans="1:19" x14ac:dyDescent="0.3">
      <c r="A27" s="3">
        <v>1026</v>
      </c>
      <c r="B27" s="7">
        <v>45864</v>
      </c>
      <c r="C27" s="3" t="s">
        <v>47</v>
      </c>
      <c r="D27" s="3" t="s">
        <v>48</v>
      </c>
      <c r="E27" s="3" t="s">
        <v>16</v>
      </c>
      <c r="F27" s="3" t="s">
        <v>27</v>
      </c>
      <c r="G27" s="3" t="s">
        <v>28</v>
      </c>
      <c r="H27" s="3" t="s">
        <v>23</v>
      </c>
      <c r="I27" s="3">
        <v>2</v>
      </c>
      <c r="J27" s="4">
        <v>55000</v>
      </c>
      <c r="K27" s="5">
        <v>0</v>
      </c>
      <c r="L27" s="4">
        <v>110000</v>
      </c>
      <c r="M27" s="3" t="s">
        <v>30</v>
      </c>
      <c r="N27" s="3" t="s">
        <v>36</v>
      </c>
      <c r="O27" s="2"/>
      <c r="P27" s="2" t="str">
        <f t="shared" si="1"/>
        <v>High Sale</v>
      </c>
      <c r="Q27" s="2"/>
      <c r="R27" t="str">
        <f t="shared" si="0"/>
        <v>Excellent</v>
      </c>
      <c r="S27">
        <f>ROWS(Table1[Order ID])</f>
        <v>150</v>
      </c>
    </row>
    <row r="28" spans="1:19" x14ac:dyDescent="0.3">
      <c r="A28" s="3">
        <v>1027</v>
      </c>
      <c r="B28" s="7">
        <v>45874</v>
      </c>
      <c r="C28" s="3" t="s">
        <v>50</v>
      </c>
      <c r="D28" s="3" t="s">
        <v>51</v>
      </c>
      <c r="E28" s="3" t="s">
        <v>52</v>
      </c>
      <c r="F28" s="3" t="s">
        <v>17</v>
      </c>
      <c r="G28" s="3" t="s">
        <v>42</v>
      </c>
      <c r="H28" s="3" t="s">
        <v>38</v>
      </c>
      <c r="I28" s="3">
        <v>8</v>
      </c>
      <c r="J28" s="4">
        <v>8500</v>
      </c>
      <c r="K28" s="5">
        <v>0</v>
      </c>
      <c r="L28" s="4">
        <v>68000</v>
      </c>
      <c r="M28" s="3" t="s">
        <v>30</v>
      </c>
      <c r="N28" s="3" t="s">
        <v>36</v>
      </c>
      <c r="O28" s="2"/>
      <c r="P28" s="2" t="str">
        <f t="shared" si="1"/>
        <v>Low Sale</v>
      </c>
      <c r="Q28" s="2"/>
      <c r="R28" t="str">
        <f t="shared" si="0"/>
        <v>Good</v>
      </c>
      <c r="S28">
        <f>ROWS(Table1[Order ID])</f>
        <v>150</v>
      </c>
    </row>
    <row r="29" spans="1:19" x14ac:dyDescent="0.3">
      <c r="A29" s="3">
        <v>1028</v>
      </c>
      <c r="B29" s="7">
        <v>45991</v>
      </c>
      <c r="C29" s="3" t="s">
        <v>53</v>
      </c>
      <c r="D29" s="3" t="s">
        <v>54</v>
      </c>
      <c r="E29" s="3" t="s">
        <v>55</v>
      </c>
      <c r="F29" s="3" t="s">
        <v>22</v>
      </c>
      <c r="G29" s="3" t="s">
        <v>28</v>
      </c>
      <c r="H29" s="3" t="s">
        <v>44</v>
      </c>
      <c r="I29" s="3">
        <v>2</v>
      </c>
      <c r="J29" s="4">
        <v>12000</v>
      </c>
      <c r="K29" s="5">
        <v>0</v>
      </c>
      <c r="L29" s="4">
        <v>24000</v>
      </c>
      <c r="M29" s="3" t="s">
        <v>30</v>
      </c>
      <c r="N29" s="3" t="s">
        <v>36</v>
      </c>
      <c r="O29" s="2"/>
      <c r="P29" s="2" t="str">
        <f t="shared" si="1"/>
        <v>Low Sale</v>
      </c>
      <c r="Q29" s="2"/>
      <c r="R29" t="str">
        <f t="shared" si="0"/>
        <v>Average</v>
      </c>
      <c r="S29">
        <f>ROWS(Table1[Order ID])</f>
        <v>150</v>
      </c>
    </row>
    <row r="30" spans="1:19" x14ac:dyDescent="0.3">
      <c r="A30" s="3">
        <v>1029</v>
      </c>
      <c r="B30" s="7">
        <v>45767</v>
      </c>
      <c r="C30" s="3" t="s">
        <v>68</v>
      </c>
      <c r="D30" s="3" t="s">
        <v>69</v>
      </c>
      <c r="E30" s="3" t="s">
        <v>16</v>
      </c>
      <c r="F30" s="3" t="s">
        <v>41</v>
      </c>
      <c r="G30" s="3" t="s">
        <v>28</v>
      </c>
      <c r="H30" s="3" t="s">
        <v>56</v>
      </c>
      <c r="I30" s="3">
        <v>8</v>
      </c>
      <c r="J30" s="4">
        <v>15000</v>
      </c>
      <c r="K30" s="5">
        <v>0.1</v>
      </c>
      <c r="L30" s="4">
        <v>108000</v>
      </c>
      <c r="M30" s="3" t="s">
        <v>35</v>
      </c>
      <c r="N30" s="3" t="s">
        <v>36</v>
      </c>
      <c r="O30" s="2"/>
      <c r="P30" s="2" t="str">
        <f t="shared" si="1"/>
        <v>High Sale</v>
      </c>
      <c r="Q30" s="2"/>
      <c r="R30" t="str">
        <f t="shared" si="0"/>
        <v>Excellent</v>
      </c>
      <c r="S30">
        <f>ROWS(Table1[Order ID])</f>
        <v>150</v>
      </c>
    </row>
    <row r="31" spans="1:19" x14ac:dyDescent="0.3">
      <c r="A31" s="3">
        <v>1030</v>
      </c>
      <c r="B31" s="7">
        <v>45804</v>
      </c>
      <c r="C31" s="3" t="s">
        <v>68</v>
      </c>
      <c r="D31" s="3" t="s">
        <v>69</v>
      </c>
      <c r="E31" s="3" t="s">
        <v>16</v>
      </c>
      <c r="F31" s="3" t="s">
        <v>41</v>
      </c>
      <c r="G31" s="3" t="s">
        <v>37</v>
      </c>
      <c r="H31" s="3" t="s">
        <v>19</v>
      </c>
      <c r="I31" s="3">
        <v>5</v>
      </c>
      <c r="J31" s="4">
        <v>15000</v>
      </c>
      <c r="K31" s="5">
        <v>0.1</v>
      </c>
      <c r="L31" s="4">
        <v>67500</v>
      </c>
      <c r="M31" s="3" t="s">
        <v>35</v>
      </c>
      <c r="N31" s="3" t="s">
        <v>36</v>
      </c>
      <c r="O31" s="2"/>
      <c r="P31" s="2" t="str">
        <f t="shared" si="1"/>
        <v>Low Sale</v>
      </c>
      <c r="Q31" s="2"/>
      <c r="R31" t="str">
        <f t="shared" si="0"/>
        <v>Good</v>
      </c>
      <c r="S31">
        <f>ROWS(Table1[Order ID])</f>
        <v>150</v>
      </c>
    </row>
    <row r="32" spans="1:19" x14ac:dyDescent="0.3">
      <c r="A32" s="3">
        <v>1031</v>
      </c>
      <c r="B32" s="7">
        <v>45687</v>
      </c>
      <c r="C32" s="3" t="s">
        <v>24</v>
      </c>
      <c r="D32" s="3" t="s">
        <v>25</v>
      </c>
      <c r="E32" s="3" t="s">
        <v>26</v>
      </c>
      <c r="F32" s="3" t="s">
        <v>22</v>
      </c>
      <c r="G32" s="3" t="s">
        <v>37</v>
      </c>
      <c r="H32" s="3" t="s">
        <v>60</v>
      </c>
      <c r="I32" s="3">
        <v>5</v>
      </c>
      <c r="J32" s="4">
        <v>2500</v>
      </c>
      <c r="K32" s="5">
        <v>0</v>
      </c>
      <c r="L32" s="4">
        <v>12500</v>
      </c>
      <c r="M32" s="3" t="s">
        <v>20</v>
      </c>
      <c r="N32" s="3" t="s">
        <v>36</v>
      </c>
      <c r="O32" s="2"/>
      <c r="P32" s="2" t="str">
        <f t="shared" si="1"/>
        <v>Low Sale</v>
      </c>
      <c r="Q32" s="2"/>
      <c r="R32" t="str">
        <f t="shared" si="0"/>
        <v>Average</v>
      </c>
      <c r="S32">
        <f>ROWS(Table1[Order ID])</f>
        <v>150</v>
      </c>
    </row>
    <row r="33" spans="1:19" x14ac:dyDescent="0.3">
      <c r="A33" s="3">
        <v>1032</v>
      </c>
      <c r="B33" s="7">
        <v>45929</v>
      </c>
      <c r="C33" s="3" t="s">
        <v>70</v>
      </c>
      <c r="D33" s="3" t="s">
        <v>71</v>
      </c>
      <c r="E33" s="3" t="s">
        <v>52</v>
      </c>
      <c r="F33" s="3" t="s">
        <v>17</v>
      </c>
      <c r="G33" s="3" t="s">
        <v>28</v>
      </c>
      <c r="H33" s="3" t="s">
        <v>59</v>
      </c>
      <c r="I33" s="3">
        <v>8</v>
      </c>
      <c r="J33" s="4">
        <v>11000</v>
      </c>
      <c r="K33" s="5">
        <v>0.15</v>
      </c>
      <c r="L33" s="4">
        <v>74800</v>
      </c>
      <c r="M33" s="3" t="s">
        <v>20</v>
      </c>
      <c r="N33" s="3" t="s">
        <v>36</v>
      </c>
      <c r="O33" s="2"/>
      <c r="P33" s="2" t="str">
        <f t="shared" si="1"/>
        <v>Low Sale</v>
      </c>
      <c r="Q33" s="2"/>
      <c r="R33" t="str">
        <f t="shared" si="0"/>
        <v>Good</v>
      </c>
      <c r="S33">
        <f>ROWS(Table1[Order ID])</f>
        <v>150</v>
      </c>
    </row>
    <row r="34" spans="1:19" x14ac:dyDescent="0.3">
      <c r="A34" s="3">
        <v>1033</v>
      </c>
      <c r="B34" s="7">
        <v>45864</v>
      </c>
      <c r="C34" s="3" t="s">
        <v>14</v>
      </c>
      <c r="D34" s="3" t="s">
        <v>15</v>
      </c>
      <c r="E34" s="3" t="s">
        <v>16</v>
      </c>
      <c r="F34" s="3" t="s">
        <v>22</v>
      </c>
      <c r="G34" s="3" t="s">
        <v>57</v>
      </c>
      <c r="H34" s="3" t="s">
        <v>23</v>
      </c>
      <c r="I34" s="3">
        <v>2</v>
      </c>
      <c r="J34" s="4">
        <v>28000</v>
      </c>
      <c r="K34" s="5">
        <v>0</v>
      </c>
      <c r="L34" s="4">
        <v>56000</v>
      </c>
      <c r="M34" s="3" t="s">
        <v>20</v>
      </c>
      <c r="N34" s="3" t="s">
        <v>21</v>
      </c>
      <c r="O34" s="2"/>
      <c r="P34" s="2" t="str">
        <f t="shared" si="1"/>
        <v>Low Sale</v>
      </c>
      <c r="Q34" s="2"/>
      <c r="R34" t="str">
        <f t="shared" ref="R34:R65" si="2">IF(L34&gt;=100000,"Excellent",IF(L34&gt;=50000,"Good","Average"))</f>
        <v>Good</v>
      </c>
      <c r="S34">
        <f>ROWS(Table1[Order ID])</f>
        <v>150</v>
      </c>
    </row>
    <row r="35" spans="1:19" x14ac:dyDescent="0.3">
      <c r="A35" s="3">
        <v>1034</v>
      </c>
      <c r="B35" s="7">
        <v>45947</v>
      </c>
      <c r="C35" s="3" t="s">
        <v>14</v>
      </c>
      <c r="D35" s="3" t="s">
        <v>15</v>
      </c>
      <c r="E35" s="3" t="s">
        <v>16</v>
      </c>
      <c r="F35" s="3" t="s">
        <v>27</v>
      </c>
      <c r="G35" s="3" t="s">
        <v>42</v>
      </c>
      <c r="H35" s="3" t="s">
        <v>72</v>
      </c>
      <c r="I35" s="3">
        <v>7</v>
      </c>
      <c r="J35" s="4">
        <v>28000</v>
      </c>
      <c r="K35" s="5">
        <v>0.15</v>
      </c>
      <c r="L35" s="4">
        <v>166600</v>
      </c>
      <c r="M35" s="3" t="s">
        <v>43</v>
      </c>
      <c r="N35" s="3" t="s">
        <v>36</v>
      </c>
      <c r="O35" s="2"/>
      <c r="P35" s="2" t="str">
        <f t="shared" si="1"/>
        <v>High Sale</v>
      </c>
      <c r="Q35" s="2"/>
      <c r="R35" t="str">
        <f t="shared" si="2"/>
        <v>Excellent</v>
      </c>
      <c r="S35">
        <f>ROWS(Table1[Order ID])</f>
        <v>150</v>
      </c>
    </row>
    <row r="36" spans="1:19" x14ac:dyDescent="0.3">
      <c r="A36" s="3">
        <v>1035</v>
      </c>
      <c r="B36" s="7">
        <v>46001</v>
      </c>
      <c r="C36" s="3" t="s">
        <v>39</v>
      </c>
      <c r="D36" s="3" t="s">
        <v>40</v>
      </c>
      <c r="E36" s="3" t="s">
        <v>26</v>
      </c>
      <c r="F36" s="3" t="s">
        <v>27</v>
      </c>
      <c r="G36" s="3" t="s">
        <v>58</v>
      </c>
      <c r="H36" s="3" t="s">
        <v>60</v>
      </c>
      <c r="I36" s="3">
        <v>7</v>
      </c>
      <c r="J36" s="4">
        <v>1200</v>
      </c>
      <c r="K36" s="5">
        <v>0</v>
      </c>
      <c r="L36" s="4">
        <v>8400</v>
      </c>
      <c r="M36" s="3" t="s">
        <v>20</v>
      </c>
      <c r="N36" s="3" t="s">
        <v>36</v>
      </c>
      <c r="O36" s="2"/>
      <c r="P36" s="2" t="str">
        <f t="shared" si="1"/>
        <v>Low Sale</v>
      </c>
      <c r="Q36" s="2"/>
      <c r="R36" t="str">
        <f t="shared" si="2"/>
        <v>Average</v>
      </c>
      <c r="S36">
        <f>ROWS(Table1[Order ID])</f>
        <v>150</v>
      </c>
    </row>
    <row r="37" spans="1:19" x14ac:dyDescent="0.3">
      <c r="A37" s="3">
        <v>1036</v>
      </c>
      <c r="B37" s="7">
        <v>45933</v>
      </c>
      <c r="C37" s="3" t="s">
        <v>53</v>
      </c>
      <c r="D37" s="3" t="s">
        <v>54</v>
      </c>
      <c r="E37" s="3" t="s">
        <v>55</v>
      </c>
      <c r="F37" s="3" t="s">
        <v>17</v>
      </c>
      <c r="G37" s="3" t="s">
        <v>57</v>
      </c>
      <c r="H37" s="3" t="s">
        <v>49</v>
      </c>
      <c r="I37" s="3">
        <v>2</v>
      </c>
      <c r="J37" s="4">
        <v>12000</v>
      </c>
      <c r="K37" s="5">
        <v>0</v>
      </c>
      <c r="L37" s="4">
        <v>24000</v>
      </c>
      <c r="M37" s="3" t="s">
        <v>30</v>
      </c>
      <c r="N37" s="3" t="s">
        <v>36</v>
      </c>
      <c r="O37" s="2"/>
      <c r="P37" s="2" t="str">
        <f t="shared" si="1"/>
        <v>Low Sale</v>
      </c>
      <c r="Q37" s="2"/>
      <c r="R37" t="str">
        <f t="shared" si="2"/>
        <v>Average</v>
      </c>
      <c r="S37">
        <f>ROWS(Table1[Order ID])</f>
        <v>150</v>
      </c>
    </row>
    <row r="38" spans="1:19" x14ac:dyDescent="0.3">
      <c r="A38" s="3">
        <v>1037</v>
      </c>
      <c r="B38" s="7">
        <v>45803</v>
      </c>
      <c r="C38" s="3" t="s">
        <v>14</v>
      </c>
      <c r="D38" s="3" t="s">
        <v>15</v>
      </c>
      <c r="E38" s="3" t="s">
        <v>16</v>
      </c>
      <c r="F38" s="3" t="s">
        <v>17</v>
      </c>
      <c r="G38" s="3" t="s">
        <v>58</v>
      </c>
      <c r="H38" s="3" t="s">
        <v>73</v>
      </c>
      <c r="I38" s="3">
        <v>4</v>
      </c>
      <c r="J38" s="4">
        <v>28000</v>
      </c>
      <c r="K38" s="5">
        <v>0.05</v>
      </c>
      <c r="L38" s="4">
        <v>106400</v>
      </c>
      <c r="M38" s="3"/>
      <c r="N38" s="3" t="s">
        <v>21</v>
      </c>
      <c r="O38" s="2"/>
      <c r="P38" s="2" t="str">
        <f t="shared" si="1"/>
        <v>High Sale</v>
      </c>
      <c r="Q38" s="2"/>
      <c r="R38" t="str">
        <f t="shared" si="2"/>
        <v>Excellent</v>
      </c>
      <c r="S38">
        <f>ROWS(Table1[Order ID])</f>
        <v>150</v>
      </c>
    </row>
    <row r="39" spans="1:19" x14ac:dyDescent="0.3">
      <c r="A39" s="3">
        <v>1038</v>
      </c>
      <c r="B39" s="7">
        <v>45811</v>
      </c>
      <c r="C39" s="3" t="s">
        <v>50</v>
      </c>
      <c r="D39" s="3" t="s">
        <v>51</v>
      </c>
      <c r="E39" s="3" t="s">
        <v>52</v>
      </c>
      <c r="F39" s="3" t="s">
        <v>22</v>
      </c>
      <c r="G39" s="3" t="s">
        <v>18</v>
      </c>
      <c r="H39" s="3" t="s">
        <v>49</v>
      </c>
      <c r="I39" s="3">
        <v>1</v>
      </c>
      <c r="J39" s="4">
        <v>8500</v>
      </c>
      <c r="K39" s="5">
        <v>0.15</v>
      </c>
      <c r="L39" s="4">
        <v>7225</v>
      </c>
      <c r="M39" s="3" t="s">
        <v>20</v>
      </c>
      <c r="N39" s="3" t="s">
        <v>36</v>
      </c>
      <c r="O39" s="2"/>
      <c r="P39" s="2" t="str">
        <f t="shared" si="1"/>
        <v>Low Sale</v>
      </c>
      <c r="Q39" s="2"/>
      <c r="R39" t="str">
        <f t="shared" si="2"/>
        <v>Average</v>
      </c>
      <c r="S39">
        <f>ROWS(Table1[Order ID])</f>
        <v>150</v>
      </c>
    </row>
    <row r="40" spans="1:19" x14ac:dyDescent="0.3">
      <c r="A40" s="3">
        <v>1039</v>
      </c>
      <c r="B40" s="7">
        <v>45802</v>
      </c>
      <c r="C40" s="3" t="s">
        <v>50</v>
      </c>
      <c r="D40" s="3" t="s">
        <v>51</v>
      </c>
      <c r="E40" s="3" t="s">
        <v>52</v>
      </c>
      <c r="F40" s="3" t="s">
        <v>17</v>
      </c>
      <c r="G40" s="3" t="s">
        <v>37</v>
      </c>
      <c r="H40" s="3" t="s">
        <v>60</v>
      </c>
      <c r="I40" s="3">
        <v>3</v>
      </c>
      <c r="J40" s="4">
        <v>8500</v>
      </c>
      <c r="K40" s="5">
        <v>0.05</v>
      </c>
      <c r="L40" s="4">
        <v>24225</v>
      </c>
      <c r="M40" s="3" t="s">
        <v>30</v>
      </c>
      <c r="N40" s="3" t="s">
        <v>36</v>
      </c>
      <c r="O40" s="2"/>
      <c r="P40" s="2" t="str">
        <f t="shared" si="1"/>
        <v>Low Sale</v>
      </c>
      <c r="Q40" s="2"/>
      <c r="R40" t="str">
        <f t="shared" si="2"/>
        <v>Average</v>
      </c>
      <c r="S40">
        <f>ROWS(Table1[Order ID])</f>
        <v>150</v>
      </c>
    </row>
    <row r="41" spans="1:19" x14ac:dyDescent="0.3">
      <c r="A41" s="3">
        <v>1040</v>
      </c>
      <c r="B41" s="7">
        <v>45684</v>
      </c>
      <c r="C41" s="3" t="s">
        <v>50</v>
      </c>
      <c r="D41" s="3" t="s">
        <v>51</v>
      </c>
      <c r="E41" s="3" t="s">
        <v>52</v>
      </c>
      <c r="F41" s="3" t="s">
        <v>22</v>
      </c>
      <c r="G41" s="3" t="s">
        <v>37</v>
      </c>
      <c r="H41" s="3" t="s">
        <v>67</v>
      </c>
      <c r="I41" s="3">
        <v>8</v>
      </c>
      <c r="J41" s="4">
        <v>8500</v>
      </c>
      <c r="K41" s="5">
        <v>0.05</v>
      </c>
      <c r="L41" s="4">
        <v>64600</v>
      </c>
      <c r="M41" s="3" t="s">
        <v>43</v>
      </c>
      <c r="N41" s="3" t="s">
        <v>36</v>
      </c>
      <c r="O41" s="2"/>
      <c r="P41" s="2" t="str">
        <f t="shared" si="1"/>
        <v>Low Sale</v>
      </c>
      <c r="Q41" s="2"/>
      <c r="R41" t="str">
        <f t="shared" si="2"/>
        <v>Good</v>
      </c>
      <c r="S41">
        <f>ROWS(Table1[Order ID])</f>
        <v>150</v>
      </c>
    </row>
    <row r="42" spans="1:19" x14ac:dyDescent="0.3">
      <c r="A42" s="3">
        <v>1041</v>
      </c>
      <c r="B42" s="7">
        <v>45984</v>
      </c>
      <c r="C42" s="3" t="s">
        <v>47</v>
      </c>
      <c r="D42" s="3" t="s">
        <v>48</v>
      </c>
      <c r="E42" s="3" t="s">
        <v>16</v>
      </c>
      <c r="F42" s="3" t="s">
        <v>27</v>
      </c>
      <c r="G42" s="3" t="s">
        <v>18</v>
      </c>
      <c r="H42" s="3" t="s">
        <v>19</v>
      </c>
      <c r="I42" s="3">
        <v>6</v>
      </c>
      <c r="J42" s="4">
        <v>55000</v>
      </c>
      <c r="K42" s="5">
        <v>0</v>
      </c>
      <c r="L42" s="4">
        <v>330000</v>
      </c>
      <c r="M42" s="3" t="s">
        <v>35</v>
      </c>
      <c r="N42" s="3" t="s">
        <v>21</v>
      </c>
      <c r="O42" s="2"/>
      <c r="P42" s="2" t="str">
        <f t="shared" si="1"/>
        <v>High Sale</v>
      </c>
      <c r="Q42" s="2"/>
      <c r="R42" t="str">
        <f t="shared" si="2"/>
        <v>Excellent</v>
      </c>
      <c r="S42">
        <f>ROWS(Table1[Order ID])</f>
        <v>150</v>
      </c>
    </row>
    <row r="43" spans="1:19" x14ac:dyDescent="0.3">
      <c r="A43" s="3">
        <v>1042</v>
      </c>
      <c r="B43" s="7">
        <v>45696</v>
      </c>
      <c r="C43" s="3" t="s">
        <v>68</v>
      </c>
      <c r="D43" s="3" t="s">
        <v>69</v>
      </c>
      <c r="E43" s="3" t="s">
        <v>16</v>
      </c>
      <c r="F43" s="3" t="s">
        <v>17</v>
      </c>
      <c r="G43" s="3" t="s">
        <v>57</v>
      </c>
      <c r="H43" s="3" t="s">
        <v>74</v>
      </c>
      <c r="I43" s="3">
        <v>1</v>
      </c>
      <c r="J43" s="4">
        <v>15000</v>
      </c>
      <c r="K43" s="5">
        <v>0</v>
      </c>
      <c r="L43" s="4">
        <v>15000</v>
      </c>
      <c r="M43" s="3" t="s">
        <v>43</v>
      </c>
      <c r="N43" s="3" t="s">
        <v>21</v>
      </c>
      <c r="O43" s="2"/>
      <c r="P43" s="2" t="str">
        <f t="shared" si="1"/>
        <v>Low Sale</v>
      </c>
      <c r="Q43" s="2"/>
      <c r="R43" t="str">
        <f t="shared" si="2"/>
        <v>Average</v>
      </c>
      <c r="S43">
        <f>ROWS(Table1[Order ID])</f>
        <v>150</v>
      </c>
    </row>
    <row r="44" spans="1:19" x14ac:dyDescent="0.3">
      <c r="A44" s="3">
        <v>1043</v>
      </c>
      <c r="B44" s="7">
        <v>45723</v>
      </c>
      <c r="C44" s="3" t="s">
        <v>50</v>
      </c>
      <c r="D44" s="3" t="s">
        <v>51</v>
      </c>
      <c r="E44" s="3" t="s">
        <v>52</v>
      </c>
      <c r="F44" s="3" t="s">
        <v>22</v>
      </c>
      <c r="G44" s="3" t="s">
        <v>42</v>
      </c>
      <c r="H44" s="3" t="s">
        <v>75</v>
      </c>
      <c r="I44" s="3">
        <v>3</v>
      </c>
      <c r="J44" s="4">
        <v>8500</v>
      </c>
      <c r="K44" s="5">
        <v>0.1</v>
      </c>
      <c r="L44" s="4">
        <v>22950</v>
      </c>
      <c r="M44" s="3" t="s">
        <v>20</v>
      </c>
      <c r="N44" s="3" t="s">
        <v>36</v>
      </c>
      <c r="O44" s="2"/>
      <c r="P44" s="2" t="str">
        <f t="shared" si="1"/>
        <v>Low Sale</v>
      </c>
      <c r="Q44" s="2"/>
      <c r="R44" t="str">
        <f t="shared" si="2"/>
        <v>Average</v>
      </c>
      <c r="S44">
        <f>ROWS(Table1[Order ID])</f>
        <v>150</v>
      </c>
    </row>
    <row r="45" spans="1:19" x14ac:dyDescent="0.3">
      <c r="A45" s="3">
        <v>1044</v>
      </c>
      <c r="B45" s="7">
        <v>45839</v>
      </c>
      <c r="C45" s="3" t="s">
        <v>24</v>
      </c>
      <c r="D45" s="3" t="s">
        <v>25</v>
      </c>
      <c r="E45" s="3" t="s">
        <v>26</v>
      </c>
      <c r="F45" s="3" t="s">
        <v>41</v>
      </c>
      <c r="G45" s="3" t="s">
        <v>57</v>
      </c>
      <c r="H45" s="3" t="s">
        <v>19</v>
      </c>
      <c r="I45" s="3">
        <v>4</v>
      </c>
      <c r="J45" s="4">
        <v>2500</v>
      </c>
      <c r="K45" s="5">
        <v>0</v>
      </c>
      <c r="L45" s="4">
        <v>10000</v>
      </c>
      <c r="M45" s="3" t="s">
        <v>30</v>
      </c>
      <c r="N45" s="3" t="s">
        <v>36</v>
      </c>
      <c r="O45" s="2"/>
      <c r="P45" s="2" t="str">
        <f t="shared" si="1"/>
        <v>Low Sale</v>
      </c>
      <c r="Q45" s="2"/>
      <c r="R45" t="str">
        <f t="shared" si="2"/>
        <v>Average</v>
      </c>
      <c r="S45">
        <f>ROWS(Table1[Order ID])</f>
        <v>150</v>
      </c>
    </row>
    <row r="46" spans="1:19" x14ac:dyDescent="0.3">
      <c r="A46" s="3">
        <v>1045</v>
      </c>
      <c r="B46" s="7">
        <v>45670</v>
      </c>
      <c r="C46" s="3" t="s">
        <v>45</v>
      </c>
      <c r="D46" s="3" t="s">
        <v>46</v>
      </c>
      <c r="E46" s="3" t="s">
        <v>16</v>
      </c>
      <c r="F46" s="3" t="s">
        <v>17</v>
      </c>
      <c r="G46" s="3" t="s">
        <v>37</v>
      </c>
      <c r="H46" s="3" t="s">
        <v>44</v>
      </c>
      <c r="I46" s="3">
        <v>3</v>
      </c>
      <c r="J46" s="4">
        <v>22000</v>
      </c>
      <c r="K46" s="5">
        <v>0.1</v>
      </c>
      <c r="L46" s="4">
        <v>59400</v>
      </c>
      <c r="M46" s="3" t="s">
        <v>43</v>
      </c>
      <c r="N46" s="3" t="s">
        <v>31</v>
      </c>
      <c r="O46" s="2"/>
      <c r="P46" s="2" t="str">
        <f t="shared" si="1"/>
        <v>Low Sale</v>
      </c>
      <c r="Q46" s="2"/>
      <c r="R46" t="str">
        <f t="shared" si="2"/>
        <v>Good</v>
      </c>
      <c r="S46">
        <f>ROWS(Table1[Order ID])</f>
        <v>150</v>
      </c>
    </row>
    <row r="47" spans="1:19" x14ac:dyDescent="0.3">
      <c r="A47" s="3">
        <v>1046</v>
      </c>
      <c r="B47" s="7">
        <v>46017</v>
      </c>
      <c r="C47" s="3" t="s">
        <v>24</v>
      </c>
      <c r="D47" s="3" t="s">
        <v>25</v>
      </c>
      <c r="E47" s="3" t="s">
        <v>26</v>
      </c>
      <c r="F47" s="3" t="s">
        <v>22</v>
      </c>
      <c r="G47" s="3" t="s">
        <v>58</v>
      </c>
      <c r="H47" s="3" t="s">
        <v>76</v>
      </c>
      <c r="I47" s="3">
        <v>5</v>
      </c>
      <c r="J47" s="4">
        <v>2500</v>
      </c>
      <c r="K47" s="5">
        <v>0</v>
      </c>
      <c r="L47" s="4">
        <v>12500</v>
      </c>
      <c r="M47" s="3" t="s">
        <v>20</v>
      </c>
      <c r="N47" s="3" t="s">
        <v>31</v>
      </c>
      <c r="O47" s="2"/>
      <c r="P47" s="2" t="str">
        <f t="shared" si="1"/>
        <v>Low Sale</v>
      </c>
      <c r="Q47" s="2"/>
      <c r="R47" t="str">
        <f t="shared" si="2"/>
        <v>Average</v>
      </c>
      <c r="S47">
        <f>ROWS(Table1[Order ID])</f>
        <v>150</v>
      </c>
    </row>
    <row r="48" spans="1:19" x14ac:dyDescent="0.3">
      <c r="A48" s="3">
        <v>1047</v>
      </c>
      <c r="B48" s="7">
        <v>45837</v>
      </c>
      <c r="C48" s="3" t="s">
        <v>24</v>
      </c>
      <c r="D48" s="3" t="s">
        <v>25</v>
      </c>
      <c r="E48" s="3" t="s">
        <v>26</v>
      </c>
      <c r="F48" s="3" t="s">
        <v>27</v>
      </c>
      <c r="G48" s="3" t="s">
        <v>18</v>
      </c>
      <c r="H48" s="3" t="s">
        <v>23</v>
      </c>
      <c r="I48" s="3">
        <v>4</v>
      </c>
      <c r="J48" s="4">
        <v>2500</v>
      </c>
      <c r="K48" s="5">
        <v>0.1</v>
      </c>
      <c r="L48" s="4">
        <v>9000</v>
      </c>
      <c r="M48" s="3" t="s">
        <v>20</v>
      </c>
      <c r="N48" s="3" t="s">
        <v>36</v>
      </c>
      <c r="O48" s="2"/>
      <c r="P48" s="2" t="str">
        <f t="shared" si="1"/>
        <v>Low Sale</v>
      </c>
      <c r="Q48" s="2"/>
      <c r="R48" t="str">
        <f t="shared" si="2"/>
        <v>Average</v>
      </c>
      <c r="S48">
        <f>ROWS(Table1[Order ID])</f>
        <v>150</v>
      </c>
    </row>
    <row r="49" spans="1:19" x14ac:dyDescent="0.3">
      <c r="A49" s="3">
        <v>1048</v>
      </c>
      <c r="B49" s="7">
        <v>45693</v>
      </c>
      <c r="C49" s="3" t="s">
        <v>68</v>
      </c>
      <c r="D49" s="3" t="s">
        <v>69</v>
      </c>
      <c r="E49" s="3" t="s">
        <v>16</v>
      </c>
      <c r="F49" s="3" t="s">
        <v>27</v>
      </c>
      <c r="G49" s="3" t="s">
        <v>42</v>
      </c>
      <c r="H49" s="3" t="s">
        <v>77</v>
      </c>
      <c r="I49" s="3">
        <v>6</v>
      </c>
      <c r="J49" s="4">
        <v>15000</v>
      </c>
      <c r="K49" s="5">
        <v>0.05</v>
      </c>
      <c r="L49" s="4">
        <v>85500</v>
      </c>
      <c r="M49" s="3" t="s">
        <v>35</v>
      </c>
      <c r="N49" s="3" t="s">
        <v>21</v>
      </c>
      <c r="O49" s="2"/>
      <c r="P49" s="2" t="str">
        <f t="shared" si="1"/>
        <v>Low Sale</v>
      </c>
      <c r="Q49" s="2"/>
      <c r="R49" t="str">
        <f t="shared" si="2"/>
        <v>Good</v>
      </c>
      <c r="S49">
        <f>ROWS(Table1[Order ID])</f>
        <v>150</v>
      </c>
    </row>
    <row r="50" spans="1:19" x14ac:dyDescent="0.3">
      <c r="A50" s="3">
        <v>1049</v>
      </c>
      <c r="B50" s="7">
        <v>45791</v>
      </c>
      <c r="C50" s="3" t="s">
        <v>32</v>
      </c>
      <c r="D50" s="3" t="s">
        <v>33</v>
      </c>
      <c r="E50" s="3" t="s">
        <v>26</v>
      </c>
      <c r="F50" s="3" t="s">
        <v>17</v>
      </c>
      <c r="G50" s="3" t="s">
        <v>57</v>
      </c>
      <c r="H50" s="3" t="s">
        <v>49</v>
      </c>
      <c r="I50" s="3">
        <v>1</v>
      </c>
      <c r="J50" s="4">
        <v>800</v>
      </c>
      <c r="K50" s="5">
        <v>0</v>
      </c>
      <c r="L50" s="4">
        <v>800</v>
      </c>
      <c r="M50" s="3" t="s">
        <v>20</v>
      </c>
      <c r="N50" s="3" t="s">
        <v>36</v>
      </c>
      <c r="O50" s="2"/>
      <c r="P50" s="2" t="str">
        <f t="shared" si="1"/>
        <v>Low Sale</v>
      </c>
      <c r="Q50" s="2"/>
      <c r="R50" t="str">
        <f t="shared" si="2"/>
        <v>Average</v>
      </c>
      <c r="S50">
        <f>ROWS(Table1[Order ID])</f>
        <v>150</v>
      </c>
    </row>
    <row r="51" spans="1:19" x14ac:dyDescent="0.3">
      <c r="A51" s="3">
        <v>1050</v>
      </c>
      <c r="B51" s="7">
        <v>45818</v>
      </c>
      <c r="C51" s="3" t="s">
        <v>70</v>
      </c>
      <c r="D51" s="3" t="s">
        <v>71</v>
      </c>
      <c r="E51" s="3" t="s">
        <v>52</v>
      </c>
      <c r="F51" s="3" t="s">
        <v>41</v>
      </c>
      <c r="G51" s="3" t="s">
        <v>57</v>
      </c>
      <c r="H51" s="3" t="s">
        <v>59</v>
      </c>
      <c r="I51" s="3">
        <v>7</v>
      </c>
      <c r="J51" s="4">
        <v>11000</v>
      </c>
      <c r="K51" s="5">
        <v>0.05</v>
      </c>
      <c r="L51" s="4">
        <v>73150</v>
      </c>
      <c r="M51" s="3" t="s">
        <v>20</v>
      </c>
      <c r="N51" s="3" t="s">
        <v>31</v>
      </c>
      <c r="O51" s="2"/>
      <c r="P51" s="2" t="str">
        <f t="shared" si="1"/>
        <v>Low Sale</v>
      </c>
      <c r="Q51" s="2"/>
      <c r="R51" t="str">
        <f t="shared" si="2"/>
        <v>Good</v>
      </c>
      <c r="S51">
        <f>ROWS(Table1[Order ID])</f>
        <v>150</v>
      </c>
    </row>
    <row r="52" spans="1:19" x14ac:dyDescent="0.3">
      <c r="A52" s="3">
        <v>1051</v>
      </c>
      <c r="B52" s="7">
        <v>45680</v>
      </c>
      <c r="C52" s="3" t="s">
        <v>70</v>
      </c>
      <c r="D52" s="3" t="s">
        <v>71</v>
      </c>
      <c r="E52" s="3" t="s">
        <v>52</v>
      </c>
      <c r="F52" s="3" t="s">
        <v>41</v>
      </c>
      <c r="G52" s="3" t="s">
        <v>28</v>
      </c>
      <c r="H52" s="3" t="s">
        <v>59</v>
      </c>
      <c r="I52" s="3">
        <v>4</v>
      </c>
      <c r="J52" s="4">
        <v>11000</v>
      </c>
      <c r="K52" s="5">
        <v>0.05</v>
      </c>
      <c r="L52" s="4">
        <v>41800</v>
      </c>
      <c r="M52" s="3" t="s">
        <v>30</v>
      </c>
      <c r="N52" s="3" t="s">
        <v>36</v>
      </c>
      <c r="O52" s="2"/>
      <c r="P52" s="2" t="str">
        <f t="shared" si="1"/>
        <v>Low Sale</v>
      </c>
      <c r="Q52" s="2"/>
      <c r="R52" t="str">
        <f t="shared" si="2"/>
        <v>Average</v>
      </c>
      <c r="S52">
        <f>ROWS(Table1[Order ID])</f>
        <v>150</v>
      </c>
    </row>
    <row r="53" spans="1:19" x14ac:dyDescent="0.3">
      <c r="A53" s="3">
        <v>1052</v>
      </c>
      <c r="B53" s="7">
        <v>45977</v>
      </c>
      <c r="C53" s="3" t="s">
        <v>68</v>
      </c>
      <c r="D53" s="3" t="s">
        <v>69</v>
      </c>
      <c r="E53" s="3" t="s">
        <v>16</v>
      </c>
      <c r="F53" s="3" t="s">
        <v>27</v>
      </c>
      <c r="G53" s="3" t="s">
        <v>37</v>
      </c>
      <c r="H53" s="3" t="s">
        <v>76</v>
      </c>
      <c r="I53" s="3">
        <v>2</v>
      </c>
      <c r="J53" s="4">
        <v>15000</v>
      </c>
      <c r="K53" s="5">
        <v>0.05</v>
      </c>
      <c r="L53" s="4">
        <v>28500</v>
      </c>
      <c r="M53" s="3" t="s">
        <v>20</v>
      </c>
      <c r="N53" s="3" t="s">
        <v>36</v>
      </c>
      <c r="O53" s="2"/>
      <c r="P53" s="2" t="str">
        <f t="shared" si="1"/>
        <v>Low Sale</v>
      </c>
      <c r="Q53" s="2"/>
      <c r="R53" t="str">
        <f t="shared" si="2"/>
        <v>Average</v>
      </c>
      <c r="S53">
        <f>ROWS(Table1[Order ID])</f>
        <v>150</v>
      </c>
    </row>
    <row r="54" spans="1:19" x14ac:dyDescent="0.3">
      <c r="A54" s="3">
        <v>1053</v>
      </c>
      <c r="B54" s="7">
        <v>45825</v>
      </c>
      <c r="C54" s="3" t="s">
        <v>50</v>
      </c>
      <c r="D54" s="3" t="s">
        <v>51</v>
      </c>
      <c r="E54" s="3" t="s">
        <v>52</v>
      </c>
      <c r="F54" s="3" t="s">
        <v>41</v>
      </c>
      <c r="G54" s="3" t="s">
        <v>37</v>
      </c>
      <c r="H54" s="3" t="s">
        <v>63</v>
      </c>
      <c r="I54" s="3">
        <v>5</v>
      </c>
      <c r="J54" s="4">
        <v>8500</v>
      </c>
      <c r="K54" s="5">
        <v>0.1</v>
      </c>
      <c r="L54" s="4">
        <v>38250</v>
      </c>
      <c r="M54" s="3" t="s">
        <v>30</v>
      </c>
      <c r="N54" s="3" t="s">
        <v>36</v>
      </c>
      <c r="O54" s="2"/>
      <c r="P54" s="2" t="str">
        <f t="shared" si="1"/>
        <v>Low Sale</v>
      </c>
      <c r="Q54" s="2"/>
      <c r="R54" t="str">
        <f t="shared" si="2"/>
        <v>Average</v>
      </c>
      <c r="S54">
        <f>ROWS(Table1[Order ID])</f>
        <v>150</v>
      </c>
    </row>
    <row r="55" spans="1:19" x14ac:dyDescent="0.3">
      <c r="A55" s="3">
        <v>1054</v>
      </c>
      <c r="B55" s="7">
        <v>45973</v>
      </c>
      <c r="C55" s="3" t="s">
        <v>68</v>
      </c>
      <c r="D55" s="3" t="s">
        <v>69</v>
      </c>
      <c r="E55" s="3" t="s">
        <v>16</v>
      </c>
      <c r="F55" s="3" t="s">
        <v>27</v>
      </c>
      <c r="G55" s="3" t="s">
        <v>58</v>
      </c>
      <c r="H55" s="3" t="s">
        <v>78</v>
      </c>
      <c r="I55" s="3">
        <v>7</v>
      </c>
      <c r="J55" s="4">
        <v>15000</v>
      </c>
      <c r="K55" s="5">
        <v>0</v>
      </c>
      <c r="L55" s="4">
        <v>105000</v>
      </c>
      <c r="M55" s="3" t="s">
        <v>20</v>
      </c>
      <c r="N55" s="3" t="s">
        <v>36</v>
      </c>
      <c r="O55" s="2"/>
      <c r="P55" s="2" t="str">
        <f t="shared" si="1"/>
        <v>High Sale</v>
      </c>
      <c r="Q55" s="2"/>
      <c r="R55" t="str">
        <f t="shared" si="2"/>
        <v>Excellent</v>
      </c>
      <c r="S55">
        <f>ROWS(Table1[Order ID])</f>
        <v>150</v>
      </c>
    </row>
    <row r="56" spans="1:19" x14ac:dyDescent="0.3">
      <c r="A56" s="3">
        <v>1055</v>
      </c>
      <c r="B56" s="7">
        <v>45954</v>
      </c>
      <c r="C56" s="3" t="s">
        <v>39</v>
      </c>
      <c r="D56" s="3" t="s">
        <v>40</v>
      </c>
      <c r="E56" s="3" t="s">
        <v>26</v>
      </c>
      <c r="F56" s="3" t="s">
        <v>27</v>
      </c>
      <c r="G56" s="3" t="s">
        <v>58</v>
      </c>
      <c r="H56" s="3" t="s">
        <v>38</v>
      </c>
      <c r="I56" s="3">
        <v>4</v>
      </c>
      <c r="J56" s="4">
        <v>1200</v>
      </c>
      <c r="K56" s="5">
        <v>0.1</v>
      </c>
      <c r="L56" s="4">
        <v>4320</v>
      </c>
      <c r="M56" s="3" t="s">
        <v>35</v>
      </c>
      <c r="N56" s="3" t="s">
        <v>36</v>
      </c>
      <c r="O56" s="2"/>
      <c r="P56" s="2" t="str">
        <f t="shared" si="1"/>
        <v>Low Sale</v>
      </c>
      <c r="Q56" s="2"/>
      <c r="R56" t="str">
        <f t="shared" si="2"/>
        <v>Average</v>
      </c>
      <c r="S56">
        <f>ROWS(Table1[Order ID])</f>
        <v>150</v>
      </c>
    </row>
    <row r="57" spans="1:19" x14ac:dyDescent="0.3">
      <c r="A57" s="3">
        <v>1056</v>
      </c>
      <c r="B57" s="7">
        <v>45995</v>
      </c>
      <c r="C57" s="3" t="s">
        <v>50</v>
      </c>
      <c r="D57" s="3" t="s">
        <v>51</v>
      </c>
      <c r="E57" s="3" t="s">
        <v>52</v>
      </c>
      <c r="F57" s="3" t="s">
        <v>22</v>
      </c>
      <c r="G57" s="3" t="s">
        <v>42</v>
      </c>
      <c r="H57" s="3" t="s">
        <v>59</v>
      </c>
      <c r="I57" s="3">
        <v>8</v>
      </c>
      <c r="J57" s="4">
        <v>8500</v>
      </c>
      <c r="K57" s="5">
        <v>0</v>
      </c>
      <c r="L57" s="4">
        <v>68000</v>
      </c>
      <c r="M57" s="3" t="s">
        <v>43</v>
      </c>
      <c r="N57" s="3" t="s">
        <v>36</v>
      </c>
      <c r="O57" s="2"/>
      <c r="P57" s="2" t="str">
        <f t="shared" si="1"/>
        <v>Low Sale</v>
      </c>
      <c r="Q57" s="2"/>
      <c r="R57" t="str">
        <f t="shared" si="2"/>
        <v>Good</v>
      </c>
      <c r="S57">
        <f>ROWS(Table1[Order ID])</f>
        <v>150</v>
      </c>
    </row>
    <row r="58" spans="1:19" x14ac:dyDescent="0.3">
      <c r="A58" s="3">
        <v>1057</v>
      </c>
      <c r="B58" s="7">
        <v>45759</v>
      </c>
      <c r="C58" s="3" t="s">
        <v>24</v>
      </c>
      <c r="D58" s="3" t="s">
        <v>25</v>
      </c>
      <c r="E58" s="3" t="s">
        <v>26</v>
      </c>
      <c r="F58" s="3" t="s">
        <v>17</v>
      </c>
      <c r="G58" s="3" t="s">
        <v>28</v>
      </c>
      <c r="H58" s="3" t="s">
        <v>74</v>
      </c>
      <c r="I58" s="3">
        <v>5</v>
      </c>
      <c r="J58" s="4">
        <v>2500</v>
      </c>
      <c r="K58" s="5">
        <v>0</v>
      </c>
      <c r="L58" s="4">
        <v>12500</v>
      </c>
      <c r="M58" s="3" t="s">
        <v>30</v>
      </c>
      <c r="N58" s="3" t="s">
        <v>31</v>
      </c>
      <c r="O58" s="2"/>
      <c r="P58" s="2" t="str">
        <f t="shared" si="1"/>
        <v>Low Sale</v>
      </c>
      <c r="Q58" s="2"/>
      <c r="R58" t="str">
        <f t="shared" si="2"/>
        <v>Average</v>
      </c>
      <c r="S58">
        <f>ROWS(Table1[Order ID])</f>
        <v>150</v>
      </c>
    </row>
    <row r="59" spans="1:19" x14ac:dyDescent="0.3">
      <c r="A59" s="3">
        <v>1058</v>
      </c>
      <c r="B59" s="7">
        <v>45870</v>
      </c>
      <c r="C59" s="3" t="s">
        <v>70</v>
      </c>
      <c r="D59" s="3" t="s">
        <v>71</v>
      </c>
      <c r="E59" s="3" t="s">
        <v>52</v>
      </c>
      <c r="F59" s="3" t="s">
        <v>79</v>
      </c>
      <c r="G59" s="3" t="s">
        <v>37</v>
      </c>
      <c r="H59" s="3" t="s">
        <v>64</v>
      </c>
      <c r="I59" s="3">
        <v>2</v>
      </c>
      <c r="J59" s="4">
        <v>11000</v>
      </c>
      <c r="K59" s="5">
        <v>0.1</v>
      </c>
      <c r="L59" s="4">
        <v>19800</v>
      </c>
      <c r="M59" s="3" t="s">
        <v>35</v>
      </c>
      <c r="N59" s="3" t="s">
        <v>31</v>
      </c>
      <c r="O59" s="2"/>
      <c r="P59" s="2" t="str">
        <f t="shared" si="1"/>
        <v>Low Sale</v>
      </c>
      <c r="Q59" s="2"/>
      <c r="R59" t="str">
        <f t="shared" si="2"/>
        <v>Average</v>
      </c>
      <c r="S59">
        <f>ROWS(Table1[Order ID])</f>
        <v>150</v>
      </c>
    </row>
    <row r="60" spans="1:19" x14ac:dyDescent="0.3">
      <c r="A60" s="3">
        <v>1059</v>
      </c>
      <c r="B60" s="7">
        <v>45993</v>
      </c>
      <c r="C60" s="3" t="s">
        <v>68</v>
      </c>
      <c r="D60" s="3" t="s">
        <v>69</v>
      </c>
      <c r="E60" s="3" t="s">
        <v>16</v>
      </c>
      <c r="F60" s="3" t="s">
        <v>22</v>
      </c>
      <c r="G60" s="3" t="s">
        <v>28</v>
      </c>
      <c r="H60" s="3" t="s">
        <v>29</v>
      </c>
      <c r="I60" s="3">
        <v>4</v>
      </c>
      <c r="J60" s="4">
        <v>15000</v>
      </c>
      <c r="K60" s="5">
        <v>0</v>
      </c>
      <c r="L60" s="4">
        <v>60000</v>
      </c>
      <c r="M60" s="3" t="s">
        <v>35</v>
      </c>
      <c r="N60" s="3" t="s">
        <v>36</v>
      </c>
      <c r="O60" s="2"/>
      <c r="P60" s="2" t="str">
        <f t="shared" si="1"/>
        <v>Low Sale</v>
      </c>
      <c r="Q60" s="2"/>
      <c r="R60" t="str">
        <f t="shared" si="2"/>
        <v>Good</v>
      </c>
      <c r="S60">
        <f>ROWS(Table1[Order ID])</f>
        <v>150</v>
      </c>
    </row>
    <row r="61" spans="1:19" x14ac:dyDescent="0.3">
      <c r="A61" s="3">
        <v>1060</v>
      </c>
      <c r="B61" s="7">
        <v>45943</v>
      </c>
      <c r="C61" s="3" t="s">
        <v>45</v>
      </c>
      <c r="D61" s="3" t="s">
        <v>46</v>
      </c>
      <c r="E61" s="3" t="s">
        <v>16</v>
      </c>
      <c r="F61" s="3" t="s">
        <v>17</v>
      </c>
      <c r="G61" s="3" t="s">
        <v>28</v>
      </c>
      <c r="H61" s="3" t="s">
        <v>38</v>
      </c>
      <c r="I61" s="3">
        <v>8</v>
      </c>
      <c r="J61" s="4">
        <v>22000</v>
      </c>
      <c r="K61" s="5">
        <v>0</v>
      </c>
      <c r="L61" s="4">
        <v>176000</v>
      </c>
      <c r="M61" s="3" t="s">
        <v>30</v>
      </c>
      <c r="N61" s="3" t="s">
        <v>31</v>
      </c>
      <c r="O61" s="2"/>
      <c r="P61" s="2" t="str">
        <f t="shared" si="1"/>
        <v>High Sale</v>
      </c>
      <c r="Q61" s="2"/>
      <c r="R61" t="str">
        <f t="shared" si="2"/>
        <v>Excellent</v>
      </c>
      <c r="S61">
        <f>ROWS(Table1[Order ID])</f>
        <v>150</v>
      </c>
    </row>
    <row r="62" spans="1:19" x14ac:dyDescent="0.3">
      <c r="A62" s="3">
        <v>1061</v>
      </c>
      <c r="B62" s="7">
        <v>45971</v>
      </c>
      <c r="C62" s="3" t="s">
        <v>50</v>
      </c>
      <c r="D62" s="3" t="s">
        <v>51</v>
      </c>
      <c r="E62" s="3" t="s">
        <v>52</v>
      </c>
      <c r="F62" s="3" t="s">
        <v>41</v>
      </c>
      <c r="G62" s="3" t="s">
        <v>57</v>
      </c>
      <c r="H62" s="3" t="s">
        <v>38</v>
      </c>
      <c r="I62" s="3">
        <v>6</v>
      </c>
      <c r="J62" s="4">
        <v>8500</v>
      </c>
      <c r="K62" s="5">
        <v>0.1</v>
      </c>
      <c r="L62" s="4">
        <v>45900</v>
      </c>
      <c r="M62" s="3" t="s">
        <v>30</v>
      </c>
      <c r="N62" s="3" t="s">
        <v>31</v>
      </c>
      <c r="O62" s="2"/>
      <c r="P62" s="2" t="str">
        <f t="shared" si="1"/>
        <v>Low Sale</v>
      </c>
      <c r="Q62" s="2"/>
      <c r="R62" t="str">
        <f t="shared" si="2"/>
        <v>Average</v>
      </c>
      <c r="S62">
        <f>ROWS(Table1[Order ID])</f>
        <v>150</v>
      </c>
    </row>
    <row r="63" spans="1:19" x14ac:dyDescent="0.3">
      <c r="A63" s="3">
        <v>1062</v>
      </c>
      <c r="B63" s="7">
        <v>45984</v>
      </c>
      <c r="C63" s="3" t="s">
        <v>53</v>
      </c>
      <c r="D63" s="3" t="s">
        <v>54</v>
      </c>
      <c r="E63" s="3" t="s">
        <v>55</v>
      </c>
      <c r="F63" s="3" t="s">
        <v>27</v>
      </c>
      <c r="G63" s="3" t="s">
        <v>57</v>
      </c>
      <c r="H63" s="3" t="s">
        <v>62</v>
      </c>
      <c r="I63" s="3">
        <v>5</v>
      </c>
      <c r="J63" s="4">
        <v>12000</v>
      </c>
      <c r="K63" s="5">
        <v>0</v>
      </c>
      <c r="L63" s="4">
        <v>60000</v>
      </c>
      <c r="M63" s="3" t="s">
        <v>30</v>
      </c>
      <c r="N63" s="3" t="s">
        <v>36</v>
      </c>
      <c r="O63" s="2"/>
      <c r="P63" s="2" t="str">
        <f t="shared" si="1"/>
        <v>Low Sale</v>
      </c>
      <c r="Q63" s="2"/>
      <c r="R63" t="str">
        <f t="shared" si="2"/>
        <v>Good</v>
      </c>
      <c r="S63">
        <f>ROWS(Table1[Order ID])</f>
        <v>150</v>
      </c>
    </row>
    <row r="64" spans="1:19" x14ac:dyDescent="0.3">
      <c r="A64" s="3">
        <v>1063</v>
      </c>
      <c r="B64" s="7">
        <v>45778</v>
      </c>
      <c r="C64" s="3" t="s">
        <v>53</v>
      </c>
      <c r="D64" s="3" t="s">
        <v>54</v>
      </c>
      <c r="E64" s="3" t="s">
        <v>55</v>
      </c>
      <c r="F64" s="3" t="s">
        <v>27</v>
      </c>
      <c r="G64" s="3" t="s">
        <v>42</v>
      </c>
      <c r="H64" s="3" t="s">
        <v>60</v>
      </c>
      <c r="I64" s="3">
        <v>2</v>
      </c>
      <c r="J64" s="4">
        <v>12000</v>
      </c>
      <c r="K64" s="5">
        <v>0.05</v>
      </c>
      <c r="L64" s="4">
        <v>22800</v>
      </c>
      <c r="M64" s="3" t="s">
        <v>20</v>
      </c>
      <c r="N64" s="3" t="s">
        <v>36</v>
      </c>
      <c r="O64" s="2"/>
      <c r="P64" s="2" t="str">
        <f t="shared" si="1"/>
        <v>Low Sale</v>
      </c>
      <c r="Q64" s="2"/>
      <c r="R64" t="str">
        <f t="shared" si="2"/>
        <v>Average</v>
      </c>
      <c r="S64">
        <f>ROWS(Table1[Order ID])</f>
        <v>150</v>
      </c>
    </row>
    <row r="65" spans="1:19" x14ac:dyDescent="0.3">
      <c r="A65" s="3">
        <v>1064</v>
      </c>
      <c r="B65" s="7">
        <v>46013</v>
      </c>
      <c r="C65" s="3" t="s">
        <v>45</v>
      </c>
      <c r="D65" s="3" t="s">
        <v>46</v>
      </c>
      <c r="E65" s="3" t="s">
        <v>16</v>
      </c>
      <c r="F65" s="3" t="s">
        <v>17</v>
      </c>
      <c r="G65" s="3" t="s">
        <v>37</v>
      </c>
      <c r="H65" s="3" t="s">
        <v>72</v>
      </c>
      <c r="I65" s="3">
        <v>4</v>
      </c>
      <c r="J65" s="4">
        <v>22000</v>
      </c>
      <c r="K65" s="5">
        <v>0.1</v>
      </c>
      <c r="L65" s="4">
        <v>79200</v>
      </c>
      <c r="M65" s="3" t="s">
        <v>20</v>
      </c>
      <c r="N65" s="3" t="s">
        <v>31</v>
      </c>
      <c r="O65" s="2"/>
      <c r="P65" s="2" t="str">
        <f t="shared" si="1"/>
        <v>Low Sale</v>
      </c>
      <c r="Q65" s="2"/>
      <c r="R65" t="str">
        <f t="shared" si="2"/>
        <v>Good</v>
      </c>
      <c r="S65">
        <f>ROWS(Table1[Order ID])</f>
        <v>150</v>
      </c>
    </row>
    <row r="66" spans="1:19" x14ac:dyDescent="0.3">
      <c r="A66" s="3">
        <v>1065</v>
      </c>
      <c r="B66" s="7">
        <v>45896</v>
      </c>
      <c r="C66" s="3" t="s">
        <v>68</v>
      </c>
      <c r="D66" s="3" t="s">
        <v>69</v>
      </c>
      <c r="E66" s="3" t="s">
        <v>16</v>
      </c>
      <c r="F66" s="3" t="s">
        <v>41</v>
      </c>
      <c r="G66" s="3" t="s">
        <v>28</v>
      </c>
      <c r="H66" s="3" t="s">
        <v>72</v>
      </c>
      <c r="I66" s="3">
        <v>6</v>
      </c>
      <c r="J66" s="4">
        <v>15000</v>
      </c>
      <c r="K66" s="5">
        <v>0.15</v>
      </c>
      <c r="L66" s="4">
        <v>76500</v>
      </c>
      <c r="M66" s="3" t="s">
        <v>35</v>
      </c>
      <c r="N66" s="3" t="s">
        <v>31</v>
      </c>
      <c r="O66" s="2"/>
      <c r="P66" s="2" t="str">
        <f t="shared" si="1"/>
        <v>Low Sale</v>
      </c>
      <c r="Q66" s="2"/>
      <c r="R66" t="str">
        <f t="shared" ref="R66:R97" si="3">IF(L66&gt;=100000,"Excellent",IF(L66&gt;=50000,"Good","Average"))</f>
        <v>Good</v>
      </c>
      <c r="S66">
        <f>ROWS(Table1[Order ID])</f>
        <v>150</v>
      </c>
    </row>
    <row r="67" spans="1:19" x14ac:dyDescent="0.3">
      <c r="A67" s="3">
        <v>1066</v>
      </c>
      <c r="B67" s="7">
        <v>45852</v>
      </c>
      <c r="C67" s="3" t="s">
        <v>70</v>
      </c>
      <c r="D67" s="3" t="s">
        <v>71</v>
      </c>
      <c r="E67" s="3" t="s">
        <v>52</v>
      </c>
      <c r="F67" s="3" t="s">
        <v>41</v>
      </c>
      <c r="G67" s="3" t="s">
        <v>28</v>
      </c>
      <c r="H67" s="3" t="s">
        <v>75</v>
      </c>
      <c r="I67" s="3">
        <v>1</v>
      </c>
      <c r="J67" s="4">
        <v>11000</v>
      </c>
      <c r="K67" s="5">
        <v>0.15</v>
      </c>
      <c r="L67" s="4">
        <v>9350</v>
      </c>
      <c r="M67" s="3" t="s">
        <v>43</v>
      </c>
      <c r="N67" s="3" t="s">
        <v>31</v>
      </c>
      <c r="O67" s="2"/>
      <c r="P67" s="2" t="str">
        <f t="shared" ref="P67:P130" si="4">IF(L67&gt;100000, "High Sale", "Low Sale")</f>
        <v>Low Sale</v>
      </c>
      <c r="Q67" s="2"/>
      <c r="R67" t="str">
        <f t="shared" si="3"/>
        <v>Average</v>
      </c>
      <c r="S67">
        <f>ROWS(Table1[Order ID])</f>
        <v>150</v>
      </c>
    </row>
    <row r="68" spans="1:19" x14ac:dyDescent="0.3">
      <c r="A68" s="3">
        <v>1067</v>
      </c>
      <c r="B68" s="7">
        <v>45770</v>
      </c>
      <c r="C68" s="3" t="s">
        <v>68</v>
      </c>
      <c r="D68" s="3" t="s">
        <v>69</v>
      </c>
      <c r="E68" s="3" t="s">
        <v>16</v>
      </c>
      <c r="F68" s="3" t="s">
        <v>27</v>
      </c>
      <c r="G68" s="3" t="s">
        <v>58</v>
      </c>
      <c r="H68" s="3" t="s">
        <v>62</v>
      </c>
      <c r="I68" s="3">
        <v>4</v>
      </c>
      <c r="J68" s="4">
        <v>15000</v>
      </c>
      <c r="K68" s="5">
        <v>0.1</v>
      </c>
      <c r="L68" s="4">
        <v>54000</v>
      </c>
      <c r="M68" s="3" t="s">
        <v>20</v>
      </c>
      <c r="N68" s="3" t="s">
        <v>31</v>
      </c>
      <c r="O68" s="2"/>
      <c r="P68" s="2" t="str">
        <f t="shared" si="4"/>
        <v>Low Sale</v>
      </c>
      <c r="Q68" s="2"/>
      <c r="R68" t="str">
        <f t="shared" si="3"/>
        <v>Good</v>
      </c>
      <c r="S68">
        <f>ROWS(Table1[Order ID])</f>
        <v>150</v>
      </c>
    </row>
    <row r="69" spans="1:19" x14ac:dyDescent="0.3">
      <c r="A69" s="3">
        <v>1068</v>
      </c>
      <c r="B69" s="7">
        <v>45897</v>
      </c>
      <c r="C69" s="3" t="s">
        <v>32</v>
      </c>
      <c r="D69" s="3" t="s">
        <v>33</v>
      </c>
      <c r="E69" s="3" t="s">
        <v>26</v>
      </c>
      <c r="F69" s="3" t="s">
        <v>17</v>
      </c>
      <c r="G69" s="3" t="s">
        <v>57</v>
      </c>
      <c r="H69" s="3" t="s">
        <v>78</v>
      </c>
      <c r="I69" s="3">
        <v>7</v>
      </c>
      <c r="J69" s="4">
        <v>800</v>
      </c>
      <c r="K69" s="5">
        <v>0</v>
      </c>
      <c r="L69" s="4">
        <v>5600</v>
      </c>
      <c r="M69" s="3" t="s">
        <v>20</v>
      </c>
      <c r="N69" s="3" t="s">
        <v>31</v>
      </c>
      <c r="O69" s="2"/>
      <c r="P69" s="2" t="str">
        <f t="shared" si="4"/>
        <v>Low Sale</v>
      </c>
      <c r="Q69" s="2"/>
      <c r="R69" t="str">
        <f t="shared" si="3"/>
        <v>Average</v>
      </c>
      <c r="S69">
        <f>ROWS(Table1[Order ID])</f>
        <v>150</v>
      </c>
    </row>
    <row r="70" spans="1:19" x14ac:dyDescent="0.3">
      <c r="A70" s="3">
        <v>1069</v>
      </c>
      <c r="B70" s="7">
        <v>45987</v>
      </c>
      <c r="C70" s="3" t="s">
        <v>70</v>
      </c>
      <c r="D70" s="3" t="s">
        <v>71</v>
      </c>
      <c r="E70" s="3" t="s">
        <v>52</v>
      </c>
      <c r="F70" s="3" t="s">
        <v>41</v>
      </c>
      <c r="G70" s="3" t="s">
        <v>18</v>
      </c>
      <c r="H70" s="3" t="s">
        <v>76</v>
      </c>
      <c r="I70" s="3">
        <v>1</v>
      </c>
      <c r="J70" s="4">
        <v>11000</v>
      </c>
      <c r="K70" s="5">
        <v>0</v>
      </c>
      <c r="L70" s="4">
        <v>11000</v>
      </c>
      <c r="M70" s="3" t="s">
        <v>35</v>
      </c>
      <c r="N70" s="3" t="s">
        <v>36</v>
      </c>
      <c r="O70" s="2"/>
      <c r="P70" s="2" t="str">
        <f t="shared" si="4"/>
        <v>Low Sale</v>
      </c>
      <c r="Q70" s="2"/>
      <c r="R70" t="str">
        <f t="shared" si="3"/>
        <v>Average</v>
      </c>
      <c r="S70">
        <f>ROWS(Table1[Order ID])</f>
        <v>150</v>
      </c>
    </row>
    <row r="71" spans="1:19" x14ac:dyDescent="0.3">
      <c r="A71" s="3">
        <v>1070</v>
      </c>
      <c r="B71" s="7">
        <v>45825</v>
      </c>
      <c r="C71" s="3" t="s">
        <v>47</v>
      </c>
      <c r="D71" s="3" t="s">
        <v>48</v>
      </c>
      <c r="E71" s="3" t="s">
        <v>16</v>
      </c>
      <c r="F71" s="3" t="s">
        <v>17</v>
      </c>
      <c r="G71" s="3" t="s">
        <v>58</v>
      </c>
      <c r="H71" s="3" t="s">
        <v>60</v>
      </c>
      <c r="I71" s="3">
        <v>5</v>
      </c>
      <c r="J71" s="4">
        <v>55000</v>
      </c>
      <c r="K71" s="5">
        <v>0.1</v>
      </c>
      <c r="L71" s="4">
        <v>247500</v>
      </c>
      <c r="M71" s="3" t="s">
        <v>43</v>
      </c>
      <c r="N71" s="3" t="s">
        <v>31</v>
      </c>
      <c r="O71" s="2"/>
      <c r="P71" s="2" t="str">
        <f t="shared" si="4"/>
        <v>High Sale</v>
      </c>
      <c r="Q71" s="2"/>
      <c r="R71" t="str">
        <f t="shared" si="3"/>
        <v>Excellent</v>
      </c>
      <c r="S71">
        <f>ROWS(Table1[Order ID])</f>
        <v>150</v>
      </c>
    </row>
    <row r="72" spans="1:19" x14ac:dyDescent="0.3">
      <c r="A72" s="3">
        <v>1071</v>
      </c>
      <c r="B72" s="7">
        <v>45699</v>
      </c>
      <c r="C72" s="3" t="s">
        <v>39</v>
      </c>
      <c r="D72" s="3" t="s">
        <v>40</v>
      </c>
      <c r="E72" s="3" t="s">
        <v>26</v>
      </c>
      <c r="F72" s="3" t="s">
        <v>41</v>
      </c>
      <c r="G72" s="3" t="s">
        <v>28</v>
      </c>
      <c r="H72" s="3" t="s">
        <v>19</v>
      </c>
      <c r="I72" s="3">
        <v>7</v>
      </c>
      <c r="J72" s="4">
        <v>1200</v>
      </c>
      <c r="K72" s="5">
        <v>0.05</v>
      </c>
      <c r="L72" s="4">
        <v>7980</v>
      </c>
      <c r="M72" s="3" t="s">
        <v>20</v>
      </c>
      <c r="N72" s="3" t="s">
        <v>36</v>
      </c>
      <c r="O72" s="2"/>
      <c r="P72" s="2" t="str">
        <f t="shared" si="4"/>
        <v>Low Sale</v>
      </c>
      <c r="Q72" s="2"/>
      <c r="R72" t="str">
        <f t="shared" si="3"/>
        <v>Average</v>
      </c>
      <c r="S72">
        <f>ROWS(Table1[Order ID])</f>
        <v>150</v>
      </c>
    </row>
    <row r="73" spans="1:19" x14ac:dyDescent="0.3">
      <c r="A73" s="3">
        <v>1072</v>
      </c>
      <c r="B73" s="7">
        <v>45673</v>
      </c>
      <c r="C73" s="3" t="s">
        <v>24</v>
      </c>
      <c r="D73" s="3" t="s">
        <v>25</v>
      </c>
      <c r="E73" s="3" t="s">
        <v>26</v>
      </c>
      <c r="F73" s="3" t="s">
        <v>17</v>
      </c>
      <c r="G73" s="3" t="s">
        <v>18</v>
      </c>
      <c r="H73" s="3" t="s">
        <v>73</v>
      </c>
      <c r="I73" s="3">
        <v>2</v>
      </c>
      <c r="J73" s="4">
        <v>2500</v>
      </c>
      <c r="K73" s="5">
        <v>0</v>
      </c>
      <c r="L73" s="4">
        <v>5000</v>
      </c>
      <c r="M73" s="3" t="s">
        <v>20</v>
      </c>
      <c r="N73" s="3" t="s">
        <v>21</v>
      </c>
      <c r="O73" s="2"/>
      <c r="P73" s="2" t="str">
        <f t="shared" si="4"/>
        <v>Low Sale</v>
      </c>
      <c r="Q73" s="2"/>
      <c r="R73" t="str">
        <f t="shared" si="3"/>
        <v>Average</v>
      </c>
      <c r="S73">
        <f>ROWS(Table1[Order ID])</f>
        <v>150</v>
      </c>
    </row>
    <row r="74" spans="1:19" x14ac:dyDescent="0.3">
      <c r="A74" s="3">
        <v>1073</v>
      </c>
      <c r="B74" s="7">
        <v>45900</v>
      </c>
      <c r="C74" s="3" t="s">
        <v>45</v>
      </c>
      <c r="D74" s="3" t="s">
        <v>46</v>
      </c>
      <c r="E74" s="3" t="s">
        <v>16</v>
      </c>
      <c r="F74" s="3" t="s">
        <v>22</v>
      </c>
      <c r="G74" s="3" t="s">
        <v>57</v>
      </c>
      <c r="H74" s="3" t="s">
        <v>72</v>
      </c>
      <c r="I74" s="3">
        <v>4</v>
      </c>
      <c r="J74" s="4">
        <v>22000</v>
      </c>
      <c r="K74" s="5">
        <v>0</v>
      </c>
      <c r="L74" s="4">
        <v>88000</v>
      </c>
      <c r="M74" s="3" t="s">
        <v>35</v>
      </c>
      <c r="N74" s="3" t="s">
        <v>36</v>
      </c>
      <c r="O74" s="2"/>
      <c r="P74" s="2" t="str">
        <f t="shared" si="4"/>
        <v>Low Sale</v>
      </c>
      <c r="Q74" s="2"/>
      <c r="R74" t="str">
        <f t="shared" si="3"/>
        <v>Good</v>
      </c>
      <c r="S74">
        <f>ROWS(Table1[Order ID])</f>
        <v>150</v>
      </c>
    </row>
    <row r="75" spans="1:19" x14ac:dyDescent="0.3">
      <c r="A75" s="3">
        <v>1074</v>
      </c>
      <c r="B75" s="7">
        <v>45968</v>
      </c>
      <c r="C75" s="3" t="s">
        <v>32</v>
      </c>
      <c r="D75" s="3" t="s">
        <v>33</v>
      </c>
      <c r="E75" s="3" t="s">
        <v>26</v>
      </c>
      <c r="F75" s="3" t="s">
        <v>22</v>
      </c>
      <c r="G75" s="3" t="s">
        <v>18</v>
      </c>
      <c r="H75" s="3" t="s">
        <v>63</v>
      </c>
      <c r="I75" s="3">
        <v>3</v>
      </c>
      <c r="J75" s="4">
        <v>800</v>
      </c>
      <c r="K75" s="5">
        <v>0.15</v>
      </c>
      <c r="L75" s="4">
        <v>2040</v>
      </c>
      <c r="M75" s="3" t="s">
        <v>20</v>
      </c>
      <c r="N75" s="3" t="s">
        <v>21</v>
      </c>
      <c r="O75" s="2"/>
      <c r="P75" s="2" t="str">
        <f t="shared" si="4"/>
        <v>Low Sale</v>
      </c>
      <c r="Q75" s="2"/>
      <c r="R75" t="str">
        <f t="shared" si="3"/>
        <v>Average</v>
      </c>
      <c r="S75">
        <f>ROWS(Table1[Order ID])</f>
        <v>150</v>
      </c>
    </row>
    <row r="76" spans="1:19" x14ac:dyDescent="0.3">
      <c r="A76" s="3">
        <v>1075</v>
      </c>
      <c r="B76" s="7">
        <v>46004</v>
      </c>
      <c r="C76" s="3" t="s">
        <v>47</v>
      </c>
      <c r="D76" s="3" t="s">
        <v>48</v>
      </c>
      <c r="E76" s="3" t="s">
        <v>16</v>
      </c>
      <c r="F76" s="3" t="s">
        <v>41</v>
      </c>
      <c r="G76" s="3" t="s">
        <v>58</v>
      </c>
      <c r="H76" s="3" t="s">
        <v>64</v>
      </c>
      <c r="I76" s="3">
        <v>5</v>
      </c>
      <c r="J76" s="4">
        <v>55000</v>
      </c>
      <c r="K76" s="5">
        <v>0.15</v>
      </c>
      <c r="L76" s="4">
        <v>233750</v>
      </c>
      <c r="M76" s="3" t="s">
        <v>30</v>
      </c>
      <c r="N76" s="3" t="s">
        <v>36</v>
      </c>
      <c r="O76" s="2"/>
      <c r="P76" s="2" t="str">
        <f t="shared" si="4"/>
        <v>High Sale</v>
      </c>
      <c r="Q76" s="2"/>
      <c r="R76" t="str">
        <f t="shared" si="3"/>
        <v>Excellent</v>
      </c>
      <c r="S76">
        <f>ROWS(Table1[Order ID])</f>
        <v>150</v>
      </c>
    </row>
    <row r="77" spans="1:19" x14ac:dyDescent="0.3">
      <c r="A77" s="3">
        <v>1076</v>
      </c>
      <c r="B77" s="7">
        <v>46014</v>
      </c>
      <c r="C77" s="3" t="s">
        <v>70</v>
      </c>
      <c r="D77" s="3" t="s">
        <v>71</v>
      </c>
      <c r="E77" s="3" t="s">
        <v>52</v>
      </c>
      <c r="F77" s="3" t="s">
        <v>27</v>
      </c>
      <c r="G77" s="3" t="s">
        <v>37</v>
      </c>
      <c r="H77" s="3" t="s">
        <v>80</v>
      </c>
      <c r="I77" s="3">
        <v>4</v>
      </c>
      <c r="J77" s="4">
        <v>11000</v>
      </c>
      <c r="K77" s="5">
        <v>0</v>
      </c>
      <c r="L77" s="4">
        <v>44000</v>
      </c>
      <c r="M77" s="3" t="s">
        <v>20</v>
      </c>
      <c r="N77" s="3" t="s">
        <v>21</v>
      </c>
      <c r="O77" s="2"/>
      <c r="P77" s="2" t="str">
        <f t="shared" si="4"/>
        <v>Low Sale</v>
      </c>
      <c r="Q77" s="2"/>
      <c r="R77" t="str">
        <f t="shared" si="3"/>
        <v>Average</v>
      </c>
      <c r="S77">
        <f>ROWS(Table1[Order ID])</f>
        <v>150</v>
      </c>
    </row>
    <row r="78" spans="1:19" x14ac:dyDescent="0.3">
      <c r="A78" s="3">
        <v>1077</v>
      </c>
      <c r="B78" s="7">
        <v>45877</v>
      </c>
      <c r="C78" s="3" t="s">
        <v>47</v>
      </c>
      <c r="D78" s="3" t="s">
        <v>48</v>
      </c>
      <c r="E78" s="3" t="s">
        <v>16</v>
      </c>
      <c r="F78" s="3" t="s">
        <v>27</v>
      </c>
      <c r="G78" s="3" t="s">
        <v>28</v>
      </c>
      <c r="H78" s="3" t="s">
        <v>59</v>
      </c>
      <c r="I78" s="3">
        <v>6</v>
      </c>
      <c r="J78" s="4">
        <v>55000</v>
      </c>
      <c r="K78" s="5">
        <v>0.15</v>
      </c>
      <c r="L78" s="4">
        <v>280500</v>
      </c>
      <c r="M78" s="3" t="s">
        <v>43</v>
      </c>
      <c r="N78" s="3" t="s">
        <v>36</v>
      </c>
      <c r="O78" s="2"/>
      <c r="P78" s="2" t="str">
        <f t="shared" si="4"/>
        <v>High Sale</v>
      </c>
      <c r="Q78" s="2"/>
      <c r="R78" t="str">
        <f t="shared" si="3"/>
        <v>Excellent</v>
      </c>
      <c r="S78">
        <f>ROWS(Table1[Order ID])</f>
        <v>150</v>
      </c>
    </row>
    <row r="79" spans="1:19" x14ac:dyDescent="0.3">
      <c r="A79" s="3">
        <v>1078</v>
      </c>
      <c r="B79" s="7">
        <v>45879</v>
      </c>
      <c r="C79" s="3" t="s">
        <v>68</v>
      </c>
      <c r="D79" s="3" t="s">
        <v>69</v>
      </c>
      <c r="E79" s="3" t="s">
        <v>16</v>
      </c>
      <c r="F79" s="3" t="s">
        <v>27</v>
      </c>
      <c r="G79" s="3" t="s">
        <v>37</v>
      </c>
      <c r="H79" s="3" t="s">
        <v>61</v>
      </c>
      <c r="I79" s="3">
        <v>8</v>
      </c>
      <c r="J79" s="4">
        <v>15000</v>
      </c>
      <c r="K79" s="5">
        <v>0</v>
      </c>
      <c r="L79" s="4">
        <v>120000</v>
      </c>
      <c r="M79" s="3" t="s">
        <v>35</v>
      </c>
      <c r="N79" s="3" t="s">
        <v>36</v>
      </c>
      <c r="O79" s="2"/>
      <c r="P79" s="2" t="str">
        <f t="shared" si="4"/>
        <v>High Sale</v>
      </c>
      <c r="Q79" s="2"/>
      <c r="R79" t="str">
        <f t="shared" si="3"/>
        <v>Excellent</v>
      </c>
      <c r="S79">
        <f>ROWS(Table1[Order ID])</f>
        <v>150</v>
      </c>
    </row>
    <row r="80" spans="1:19" x14ac:dyDescent="0.3">
      <c r="A80" s="3">
        <v>1079</v>
      </c>
      <c r="B80" s="7">
        <v>45991</v>
      </c>
      <c r="C80" s="3" t="s">
        <v>68</v>
      </c>
      <c r="D80" s="3" t="s">
        <v>69</v>
      </c>
      <c r="E80" s="3" t="s">
        <v>16</v>
      </c>
      <c r="F80" s="3" t="s">
        <v>27</v>
      </c>
      <c r="G80" s="3" t="s">
        <v>57</v>
      </c>
      <c r="H80" s="3" t="s">
        <v>66</v>
      </c>
      <c r="I80" s="3">
        <v>3</v>
      </c>
      <c r="J80" s="4">
        <v>15000</v>
      </c>
      <c r="K80" s="5">
        <v>0.15</v>
      </c>
      <c r="L80" s="4">
        <v>38250</v>
      </c>
      <c r="M80" s="3" t="s">
        <v>35</v>
      </c>
      <c r="N80" s="3" t="s">
        <v>31</v>
      </c>
      <c r="O80" s="2"/>
      <c r="P80" s="2" t="str">
        <f t="shared" si="4"/>
        <v>Low Sale</v>
      </c>
      <c r="Q80" s="2"/>
      <c r="R80" t="str">
        <f t="shared" si="3"/>
        <v>Average</v>
      </c>
      <c r="S80">
        <f>ROWS(Table1[Order ID])</f>
        <v>150</v>
      </c>
    </row>
    <row r="81" spans="1:19" x14ac:dyDescent="0.3">
      <c r="A81" s="3">
        <v>1080</v>
      </c>
      <c r="B81" s="7">
        <v>45783</v>
      </c>
      <c r="C81" s="3" t="s">
        <v>68</v>
      </c>
      <c r="D81" s="3" t="s">
        <v>69</v>
      </c>
      <c r="E81" s="3" t="s">
        <v>16</v>
      </c>
      <c r="F81" s="3" t="s">
        <v>22</v>
      </c>
      <c r="G81" s="3" t="s">
        <v>42</v>
      </c>
      <c r="H81" s="3" t="s">
        <v>61</v>
      </c>
      <c r="I81" s="3">
        <v>5</v>
      </c>
      <c r="J81" s="4">
        <v>15000</v>
      </c>
      <c r="K81" s="5">
        <v>0.05</v>
      </c>
      <c r="L81" s="4">
        <v>71250</v>
      </c>
      <c r="M81" s="3" t="s">
        <v>35</v>
      </c>
      <c r="N81" s="3" t="s">
        <v>36</v>
      </c>
      <c r="O81" s="2"/>
      <c r="P81" s="2" t="str">
        <f t="shared" si="4"/>
        <v>Low Sale</v>
      </c>
      <c r="Q81" s="2"/>
      <c r="R81" t="str">
        <f t="shared" si="3"/>
        <v>Good</v>
      </c>
      <c r="S81">
        <f>ROWS(Table1[Order ID])</f>
        <v>150</v>
      </c>
    </row>
    <row r="82" spans="1:19" x14ac:dyDescent="0.3">
      <c r="A82" s="3">
        <v>1081</v>
      </c>
      <c r="B82" s="7">
        <v>45672</v>
      </c>
      <c r="C82" s="3" t="s">
        <v>53</v>
      </c>
      <c r="D82" s="3" t="s">
        <v>54</v>
      </c>
      <c r="E82" s="3" t="s">
        <v>55</v>
      </c>
      <c r="F82" s="3" t="s">
        <v>41</v>
      </c>
      <c r="G82" s="3" t="s">
        <v>42</v>
      </c>
      <c r="H82" s="3" t="s">
        <v>56</v>
      </c>
      <c r="I82" s="3">
        <v>7</v>
      </c>
      <c r="J82" s="4">
        <v>12000</v>
      </c>
      <c r="K82" s="5">
        <v>0.05</v>
      </c>
      <c r="L82" s="4">
        <v>79800</v>
      </c>
      <c r="M82" s="3" t="s">
        <v>35</v>
      </c>
      <c r="N82" s="3" t="s">
        <v>36</v>
      </c>
      <c r="O82" s="2"/>
      <c r="P82" s="2" t="str">
        <f t="shared" si="4"/>
        <v>Low Sale</v>
      </c>
      <c r="Q82" s="2"/>
      <c r="R82" t="str">
        <f t="shared" si="3"/>
        <v>Good</v>
      </c>
      <c r="S82">
        <f>ROWS(Table1[Order ID])</f>
        <v>150</v>
      </c>
    </row>
    <row r="83" spans="1:19" x14ac:dyDescent="0.3">
      <c r="A83" s="3">
        <v>1082</v>
      </c>
      <c r="B83" s="7">
        <v>45801</v>
      </c>
      <c r="C83" s="3" t="s">
        <v>32</v>
      </c>
      <c r="D83" s="3" t="s">
        <v>33</v>
      </c>
      <c r="E83" s="3" t="s">
        <v>26</v>
      </c>
      <c r="F83" s="3" t="s">
        <v>27</v>
      </c>
      <c r="G83" s="3" t="s">
        <v>57</v>
      </c>
      <c r="H83" s="3" t="s">
        <v>81</v>
      </c>
      <c r="I83" s="3">
        <v>5</v>
      </c>
      <c r="J83" s="4">
        <v>800</v>
      </c>
      <c r="K83" s="5">
        <v>0.05</v>
      </c>
      <c r="L83" s="4">
        <v>3800</v>
      </c>
      <c r="M83" s="3" t="s">
        <v>30</v>
      </c>
      <c r="N83" s="3" t="s">
        <v>36</v>
      </c>
      <c r="O83" s="2"/>
      <c r="P83" s="2" t="str">
        <f t="shared" si="4"/>
        <v>Low Sale</v>
      </c>
      <c r="Q83" s="2"/>
      <c r="R83" t="str">
        <f t="shared" si="3"/>
        <v>Average</v>
      </c>
      <c r="S83">
        <f>ROWS(Table1[Order ID])</f>
        <v>150</v>
      </c>
    </row>
    <row r="84" spans="1:19" x14ac:dyDescent="0.3">
      <c r="A84" s="3">
        <v>1083</v>
      </c>
      <c r="B84" s="7">
        <v>45942</v>
      </c>
      <c r="C84" s="3" t="s">
        <v>24</v>
      </c>
      <c r="D84" s="3" t="s">
        <v>25</v>
      </c>
      <c r="E84" s="3" t="s">
        <v>26</v>
      </c>
      <c r="F84" s="3" t="s">
        <v>17</v>
      </c>
      <c r="G84" s="3" t="s">
        <v>37</v>
      </c>
      <c r="H84" s="3" t="s">
        <v>62</v>
      </c>
      <c r="I84" s="3">
        <v>7</v>
      </c>
      <c r="J84" s="4">
        <v>2500</v>
      </c>
      <c r="K84" s="5">
        <v>0.1</v>
      </c>
      <c r="L84" s="4">
        <v>15750</v>
      </c>
      <c r="M84" s="3" t="s">
        <v>35</v>
      </c>
      <c r="N84" s="3" t="s">
        <v>31</v>
      </c>
      <c r="O84" s="2"/>
      <c r="P84" s="2" t="str">
        <f t="shared" si="4"/>
        <v>Low Sale</v>
      </c>
      <c r="Q84" s="2"/>
      <c r="R84" t="str">
        <f t="shared" si="3"/>
        <v>Average</v>
      </c>
      <c r="S84">
        <f>ROWS(Table1[Order ID])</f>
        <v>150</v>
      </c>
    </row>
    <row r="85" spans="1:19" x14ac:dyDescent="0.3">
      <c r="A85" s="3">
        <v>1084</v>
      </c>
      <c r="B85" s="7">
        <v>45771</v>
      </c>
      <c r="C85" s="3" t="s">
        <v>47</v>
      </c>
      <c r="D85" s="3" t="s">
        <v>48</v>
      </c>
      <c r="E85" s="3" t="s">
        <v>16</v>
      </c>
      <c r="F85" s="3" t="s">
        <v>41</v>
      </c>
      <c r="G85" s="3" t="s">
        <v>37</v>
      </c>
      <c r="H85" s="3" t="s">
        <v>23</v>
      </c>
      <c r="I85" s="3">
        <v>2</v>
      </c>
      <c r="J85" s="4">
        <v>55000</v>
      </c>
      <c r="K85" s="5">
        <v>0.05</v>
      </c>
      <c r="L85" s="4">
        <v>104500</v>
      </c>
      <c r="M85" s="3" t="s">
        <v>43</v>
      </c>
      <c r="N85" s="3" t="s">
        <v>21</v>
      </c>
      <c r="O85" s="2"/>
      <c r="P85" s="2" t="str">
        <f t="shared" si="4"/>
        <v>High Sale</v>
      </c>
      <c r="Q85" s="2"/>
      <c r="R85" t="str">
        <f t="shared" si="3"/>
        <v>Excellent</v>
      </c>
      <c r="S85">
        <f>ROWS(Table1[Order ID])</f>
        <v>150</v>
      </c>
    </row>
    <row r="86" spans="1:19" x14ac:dyDescent="0.3">
      <c r="A86" s="3">
        <v>1085</v>
      </c>
      <c r="B86" s="7">
        <v>45929</v>
      </c>
      <c r="C86" s="3" t="s">
        <v>32</v>
      </c>
      <c r="D86" s="3" t="s">
        <v>33</v>
      </c>
      <c r="E86" s="3" t="s">
        <v>26</v>
      </c>
      <c r="F86" s="3" t="s">
        <v>27</v>
      </c>
      <c r="G86" s="3" t="s">
        <v>58</v>
      </c>
      <c r="H86" s="3" t="s">
        <v>19</v>
      </c>
      <c r="I86" s="3">
        <v>8</v>
      </c>
      <c r="J86" s="4">
        <v>800</v>
      </c>
      <c r="K86" s="5">
        <v>0.15</v>
      </c>
      <c r="L86" s="4">
        <v>5440</v>
      </c>
      <c r="M86" s="3" t="s">
        <v>43</v>
      </c>
      <c r="N86" s="3" t="s">
        <v>36</v>
      </c>
      <c r="O86" s="2"/>
      <c r="P86" s="2" t="str">
        <f t="shared" si="4"/>
        <v>Low Sale</v>
      </c>
      <c r="Q86" s="2"/>
      <c r="R86" t="str">
        <f t="shared" si="3"/>
        <v>Average</v>
      </c>
      <c r="S86">
        <f>ROWS(Table1[Order ID])</f>
        <v>150</v>
      </c>
    </row>
    <row r="87" spans="1:19" x14ac:dyDescent="0.3">
      <c r="A87" s="3">
        <v>1086</v>
      </c>
      <c r="B87" s="7">
        <v>45786</v>
      </c>
      <c r="C87" s="3" t="s">
        <v>53</v>
      </c>
      <c r="D87" s="3" t="s">
        <v>54</v>
      </c>
      <c r="E87" s="3" t="s">
        <v>55</v>
      </c>
      <c r="F87" s="3" t="s">
        <v>17</v>
      </c>
      <c r="G87" s="3" t="s">
        <v>28</v>
      </c>
      <c r="H87" s="3" t="s">
        <v>19</v>
      </c>
      <c r="I87" s="3">
        <v>5</v>
      </c>
      <c r="J87" s="4">
        <v>12000</v>
      </c>
      <c r="K87" s="5">
        <v>0.05</v>
      </c>
      <c r="L87" s="4">
        <v>57000</v>
      </c>
      <c r="M87" s="3" t="s">
        <v>30</v>
      </c>
      <c r="N87" s="3" t="s">
        <v>36</v>
      </c>
      <c r="O87" s="2"/>
      <c r="P87" s="2" t="str">
        <f t="shared" si="4"/>
        <v>Low Sale</v>
      </c>
      <c r="Q87" s="2"/>
      <c r="R87" t="str">
        <f t="shared" si="3"/>
        <v>Good</v>
      </c>
      <c r="S87">
        <f>ROWS(Table1[Order ID])</f>
        <v>150</v>
      </c>
    </row>
    <row r="88" spans="1:19" x14ac:dyDescent="0.3">
      <c r="A88" s="3">
        <v>1087</v>
      </c>
      <c r="B88" s="7">
        <v>45768</v>
      </c>
      <c r="C88" s="3" t="s">
        <v>14</v>
      </c>
      <c r="D88" s="3" t="s">
        <v>15</v>
      </c>
      <c r="E88" s="3" t="s">
        <v>16</v>
      </c>
      <c r="F88" s="3" t="s">
        <v>41</v>
      </c>
      <c r="G88" s="3" t="s">
        <v>42</v>
      </c>
      <c r="H88" s="3" t="s">
        <v>19</v>
      </c>
      <c r="I88" s="3">
        <v>3</v>
      </c>
      <c r="J88" s="4">
        <v>28000</v>
      </c>
      <c r="K88" s="5">
        <v>0</v>
      </c>
      <c r="L88" s="4">
        <v>84000</v>
      </c>
      <c r="M88" s="3" t="s">
        <v>43</v>
      </c>
      <c r="N88" s="3" t="s">
        <v>36</v>
      </c>
      <c r="O88" s="2"/>
      <c r="P88" s="2" t="str">
        <f t="shared" si="4"/>
        <v>Low Sale</v>
      </c>
      <c r="Q88" s="2"/>
      <c r="R88" t="str">
        <f t="shared" si="3"/>
        <v>Good</v>
      </c>
      <c r="S88">
        <f>ROWS(Table1[Order ID])</f>
        <v>150</v>
      </c>
    </row>
    <row r="89" spans="1:19" x14ac:dyDescent="0.3">
      <c r="A89" s="3">
        <v>1088</v>
      </c>
      <c r="B89" s="7">
        <v>45842</v>
      </c>
      <c r="C89" s="3" t="s">
        <v>24</v>
      </c>
      <c r="D89" s="3" t="s">
        <v>25</v>
      </c>
      <c r="E89" s="3" t="s">
        <v>26</v>
      </c>
      <c r="F89" s="3" t="s">
        <v>17</v>
      </c>
      <c r="G89" s="3" t="s">
        <v>42</v>
      </c>
      <c r="H89" s="3" t="s">
        <v>81</v>
      </c>
      <c r="I89" s="3">
        <v>5</v>
      </c>
      <c r="J89" s="4">
        <v>2500</v>
      </c>
      <c r="K89" s="5">
        <v>0</v>
      </c>
      <c r="L89" s="4">
        <v>12500</v>
      </c>
      <c r="M89" s="3" t="s">
        <v>30</v>
      </c>
      <c r="N89" s="3" t="s">
        <v>36</v>
      </c>
      <c r="O89" s="2"/>
      <c r="P89" s="2" t="str">
        <f t="shared" si="4"/>
        <v>Low Sale</v>
      </c>
      <c r="Q89" s="2"/>
      <c r="R89" t="str">
        <f t="shared" si="3"/>
        <v>Average</v>
      </c>
      <c r="S89">
        <f>ROWS(Table1[Order ID])</f>
        <v>150</v>
      </c>
    </row>
    <row r="90" spans="1:19" x14ac:dyDescent="0.3">
      <c r="A90" s="3">
        <v>1089</v>
      </c>
      <c r="B90" s="7">
        <v>45807</v>
      </c>
      <c r="C90" s="3" t="s">
        <v>47</v>
      </c>
      <c r="D90" s="3" t="s">
        <v>48</v>
      </c>
      <c r="E90" s="3" t="s">
        <v>16</v>
      </c>
      <c r="F90" s="3" t="s">
        <v>17</v>
      </c>
      <c r="G90" s="3" t="s">
        <v>37</v>
      </c>
      <c r="H90" s="3" t="s">
        <v>82</v>
      </c>
      <c r="I90" s="3">
        <v>1</v>
      </c>
      <c r="J90" s="4">
        <v>55000</v>
      </c>
      <c r="K90" s="5">
        <v>0.15</v>
      </c>
      <c r="L90" s="4">
        <v>46750</v>
      </c>
      <c r="M90" s="3" t="s">
        <v>35</v>
      </c>
      <c r="N90" s="3" t="s">
        <v>36</v>
      </c>
      <c r="O90" s="2"/>
      <c r="P90" s="2" t="str">
        <f t="shared" si="4"/>
        <v>Low Sale</v>
      </c>
      <c r="Q90" s="2"/>
      <c r="R90" t="str">
        <f t="shared" si="3"/>
        <v>Average</v>
      </c>
      <c r="S90">
        <f>ROWS(Table1[Order ID])</f>
        <v>150</v>
      </c>
    </row>
    <row r="91" spans="1:19" x14ac:dyDescent="0.3">
      <c r="A91" s="3">
        <v>1090</v>
      </c>
      <c r="B91" s="7">
        <v>45903</v>
      </c>
      <c r="C91" s="3" t="s">
        <v>47</v>
      </c>
      <c r="D91" s="3" t="s">
        <v>48</v>
      </c>
      <c r="E91" s="3" t="s">
        <v>16</v>
      </c>
      <c r="F91" s="3" t="s">
        <v>41</v>
      </c>
      <c r="G91" s="3" t="s">
        <v>42</v>
      </c>
      <c r="H91" s="3" t="s">
        <v>56</v>
      </c>
      <c r="I91" s="3">
        <v>5</v>
      </c>
      <c r="J91" s="4">
        <v>55000</v>
      </c>
      <c r="K91" s="5">
        <v>0.1</v>
      </c>
      <c r="L91" s="4">
        <v>247500</v>
      </c>
      <c r="M91" s="3" t="s">
        <v>20</v>
      </c>
      <c r="N91" s="3" t="s">
        <v>36</v>
      </c>
      <c r="O91" s="2"/>
      <c r="P91" s="2" t="str">
        <f t="shared" si="4"/>
        <v>High Sale</v>
      </c>
      <c r="Q91" s="2"/>
      <c r="R91" t="str">
        <f t="shared" si="3"/>
        <v>Excellent</v>
      </c>
      <c r="S91">
        <f>ROWS(Table1[Order ID])</f>
        <v>150</v>
      </c>
    </row>
    <row r="92" spans="1:19" x14ac:dyDescent="0.3">
      <c r="A92" s="3">
        <v>1091</v>
      </c>
      <c r="B92" s="7">
        <v>45863</v>
      </c>
      <c r="C92" s="3" t="s">
        <v>53</v>
      </c>
      <c r="D92" s="3" t="s">
        <v>54</v>
      </c>
      <c r="E92" s="3" t="s">
        <v>55</v>
      </c>
      <c r="F92" s="3" t="s">
        <v>41</v>
      </c>
      <c r="G92" s="3" t="s">
        <v>28</v>
      </c>
      <c r="H92" s="3" t="s">
        <v>83</v>
      </c>
      <c r="I92" s="3">
        <v>2</v>
      </c>
      <c r="J92" s="4">
        <v>12000</v>
      </c>
      <c r="K92" s="5">
        <v>0</v>
      </c>
      <c r="L92" s="4">
        <v>24000</v>
      </c>
      <c r="M92" s="3" t="s">
        <v>20</v>
      </c>
      <c r="N92" s="3" t="s">
        <v>36</v>
      </c>
      <c r="O92" s="2"/>
      <c r="P92" s="2" t="str">
        <f t="shared" si="4"/>
        <v>Low Sale</v>
      </c>
      <c r="Q92" s="2"/>
      <c r="R92" t="str">
        <f t="shared" si="3"/>
        <v>Average</v>
      </c>
      <c r="S92">
        <f>ROWS(Table1[Order ID])</f>
        <v>150</v>
      </c>
    </row>
    <row r="93" spans="1:19" x14ac:dyDescent="0.3">
      <c r="A93" s="3">
        <v>1092</v>
      </c>
      <c r="B93" s="7">
        <v>45785</v>
      </c>
      <c r="C93" s="3" t="s">
        <v>45</v>
      </c>
      <c r="D93" s="3" t="s">
        <v>46</v>
      </c>
      <c r="E93" s="3" t="s">
        <v>16</v>
      </c>
      <c r="F93" s="3" t="s">
        <v>22</v>
      </c>
      <c r="G93" s="3" t="s">
        <v>57</v>
      </c>
      <c r="H93" s="3" t="s">
        <v>29</v>
      </c>
      <c r="I93" s="3">
        <v>5</v>
      </c>
      <c r="J93" s="4">
        <v>22000</v>
      </c>
      <c r="K93" s="5">
        <v>0</v>
      </c>
      <c r="L93" s="4">
        <v>110000</v>
      </c>
      <c r="M93" s="3" t="s">
        <v>35</v>
      </c>
      <c r="N93" s="3" t="s">
        <v>21</v>
      </c>
      <c r="O93" s="2"/>
      <c r="P93" s="2" t="str">
        <f t="shared" si="4"/>
        <v>High Sale</v>
      </c>
      <c r="Q93" s="2"/>
      <c r="R93" t="str">
        <f t="shared" si="3"/>
        <v>Excellent</v>
      </c>
      <c r="S93">
        <f>ROWS(Table1[Order ID])</f>
        <v>150</v>
      </c>
    </row>
    <row r="94" spans="1:19" x14ac:dyDescent="0.3">
      <c r="A94" s="3">
        <v>1093</v>
      </c>
      <c r="B94" s="7">
        <v>45852</v>
      </c>
      <c r="C94" s="3" t="s">
        <v>70</v>
      </c>
      <c r="D94" s="3" t="s">
        <v>71</v>
      </c>
      <c r="E94" s="3" t="s">
        <v>52</v>
      </c>
      <c r="F94" s="3" t="s">
        <v>41</v>
      </c>
      <c r="G94" s="3" t="s">
        <v>58</v>
      </c>
      <c r="H94" s="3" t="s">
        <v>63</v>
      </c>
      <c r="I94" s="3">
        <v>4</v>
      </c>
      <c r="J94" s="4">
        <v>11000</v>
      </c>
      <c r="K94" s="5">
        <v>0.15</v>
      </c>
      <c r="L94" s="4">
        <v>37400</v>
      </c>
      <c r="M94" s="3" t="s">
        <v>35</v>
      </c>
      <c r="N94" s="3" t="s">
        <v>36</v>
      </c>
      <c r="O94" s="2"/>
      <c r="P94" s="2" t="str">
        <f t="shared" si="4"/>
        <v>Low Sale</v>
      </c>
      <c r="Q94" s="2"/>
      <c r="R94" t="str">
        <f t="shared" si="3"/>
        <v>Average</v>
      </c>
      <c r="S94">
        <f>ROWS(Table1[Order ID])</f>
        <v>150</v>
      </c>
    </row>
    <row r="95" spans="1:19" x14ac:dyDescent="0.3">
      <c r="A95" s="3">
        <v>1094</v>
      </c>
      <c r="B95" s="7">
        <v>45708</v>
      </c>
      <c r="C95" s="3" t="s">
        <v>70</v>
      </c>
      <c r="D95" s="3" t="s">
        <v>71</v>
      </c>
      <c r="E95" s="3" t="s">
        <v>52</v>
      </c>
      <c r="F95" s="3" t="s">
        <v>17</v>
      </c>
      <c r="G95" s="3" t="s">
        <v>37</v>
      </c>
      <c r="H95" s="3" t="s">
        <v>72</v>
      </c>
      <c r="I95" s="3">
        <v>1</v>
      </c>
      <c r="J95" s="4">
        <v>11000</v>
      </c>
      <c r="K95" s="5">
        <v>0.15</v>
      </c>
      <c r="L95" s="4">
        <v>9350</v>
      </c>
      <c r="M95" s="3" t="s">
        <v>43</v>
      </c>
      <c r="N95" s="3" t="s">
        <v>36</v>
      </c>
      <c r="O95" s="2"/>
      <c r="P95" s="2" t="str">
        <f t="shared" si="4"/>
        <v>Low Sale</v>
      </c>
      <c r="Q95" s="2"/>
      <c r="R95" t="str">
        <f t="shared" si="3"/>
        <v>Average</v>
      </c>
      <c r="S95">
        <f>ROWS(Table1[Order ID])</f>
        <v>150</v>
      </c>
    </row>
    <row r="96" spans="1:19" x14ac:dyDescent="0.3">
      <c r="A96" s="3">
        <v>1095</v>
      </c>
      <c r="B96" s="7">
        <v>45940</v>
      </c>
      <c r="C96" s="3" t="s">
        <v>45</v>
      </c>
      <c r="D96" s="3" t="s">
        <v>46</v>
      </c>
      <c r="E96" s="3" t="s">
        <v>16</v>
      </c>
      <c r="F96" s="3" t="s">
        <v>22</v>
      </c>
      <c r="G96" s="3" t="s">
        <v>18</v>
      </c>
      <c r="H96" s="3" t="s">
        <v>81</v>
      </c>
      <c r="I96" s="3">
        <v>4</v>
      </c>
      <c r="J96" s="4">
        <v>22000</v>
      </c>
      <c r="K96" s="5">
        <v>0</v>
      </c>
      <c r="L96" s="4">
        <v>88000</v>
      </c>
      <c r="M96" s="3" t="s">
        <v>35</v>
      </c>
      <c r="N96" s="3" t="s">
        <v>31</v>
      </c>
      <c r="O96" s="2"/>
      <c r="P96" s="2" t="str">
        <f t="shared" si="4"/>
        <v>Low Sale</v>
      </c>
      <c r="Q96" s="2"/>
      <c r="R96" t="str">
        <f t="shared" si="3"/>
        <v>Good</v>
      </c>
      <c r="S96">
        <f>ROWS(Table1[Order ID])</f>
        <v>150</v>
      </c>
    </row>
    <row r="97" spans="1:19" x14ac:dyDescent="0.3">
      <c r="A97" s="3">
        <v>1096</v>
      </c>
      <c r="B97" s="7">
        <v>45674</v>
      </c>
      <c r="C97" s="3" t="s">
        <v>70</v>
      </c>
      <c r="D97" s="3" t="s">
        <v>71</v>
      </c>
      <c r="E97" s="3" t="s">
        <v>52</v>
      </c>
      <c r="F97" s="3" t="s">
        <v>17</v>
      </c>
      <c r="G97" s="3" t="s">
        <v>42</v>
      </c>
      <c r="H97" s="3" t="s">
        <v>64</v>
      </c>
      <c r="I97" s="3">
        <v>8</v>
      </c>
      <c r="J97" s="4">
        <v>11000</v>
      </c>
      <c r="K97" s="5">
        <v>0.05</v>
      </c>
      <c r="L97" s="4">
        <v>83600</v>
      </c>
      <c r="M97" s="3" t="s">
        <v>43</v>
      </c>
      <c r="N97" s="3" t="s">
        <v>31</v>
      </c>
      <c r="O97" s="2"/>
      <c r="P97" s="2" t="str">
        <f t="shared" si="4"/>
        <v>Low Sale</v>
      </c>
      <c r="Q97" s="2"/>
      <c r="R97" t="str">
        <f t="shared" si="3"/>
        <v>Good</v>
      </c>
      <c r="S97">
        <f>ROWS(Table1[Order ID])</f>
        <v>150</v>
      </c>
    </row>
    <row r="98" spans="1:19" x14ac:dyDescent="0.3">
      <c r="A98" s="3">
        <v>1097</v>
      </c>
      <c r="B98" s="7">
        <v>45978</v>
      </c>
      <c r="C98" s="3" t="s">
        <v>14</v>
      </c>
      <c r="D98" s="3" t="s">
        <v>15</v>
      </c>
      <c r="E98" s="3" t="s">
        <v>16</v>
      </c>
      <c r="F98" s="3" t="s">
        <v>17</v>
      </c>
      <c r="G98" s="3" t="s">
        <v>58</v>
      </c>
      <c r="H98" s="3" t="s">
        <v>84</v>
      </c>
      <c r="I98" s="3">
        <v>4</v>
      </c>
      <c r="J98" s="4">
        <v>28000</v>
      </c>
      <c r="K98" s="5">
        <v>0.05</v>
      </c>
      <c r="L98" s="4">
        <v>106400</v>
      </c>
      <c r="M98" s="3" t="s">
        <v>30</v>
      </c>
      <c r="N98" s="3" t="s">
        <v>36</v>
      </c>
      <c r="O98" s="2"/>
      <c r="P98" s="2" t="str">
        <f t="shared" si="4"/>
        <v>High Sale</v>
      </c>
      <c r="Q98" s="2"/>
      <c r="R98" t="str">
        <f t="shared" ref="R98:R129" si="5">IF(L98&gt;=100000,"Excellent",IF(L98&gt;=50000,"Good","Average"))</f>
        <v>Excellent</v>
      </c>
      <c r="S98">
        <f>ROWS(Table1[Order ID])</f>
        <v>150</v>
      </c>
    </row>
    <row r="99" spans="1:19" x14ac:dyDescent="0.3">
      <c r="A99" s="3">
        <v>1098</v>
      </c>
      <c r="B99" s="7">
        <v>45688</v>
      </c>
      <c r="C99" s="3" t="s">
        <v>39</v>
      </c>
      <c r="D99" s="3" t="s">
        <v>40</v>
      </c>
      <c r="E99" s="3" t="s">
        <v>26</v>
      </c>
      <c r="F99" s="3" t="s">
        <v>17</v>
      </c>
      <c r="G99" s="3" t="s">
        <v>42</v>
      </c>
      <c r="H99" s="3" t="s">
        <v>80</v>
      </c>
      <c r="I99" s="3">
        <v>3</v>
      </c>
      <c r="J99" s="4">
        <v>1200</v>
      </c>
      <c r="K99" s="5">
        <v>0</v>
      </c>
      <c r="L99" s="4">
        <v>3600</v>
      </c>
      <c r="M99" s="3" t="s">
        <v>43</v>
      </c>
      <c r="N99" s="3" t="s">
        <v>31</v>
      </c>
      <c r="O99" s="2"/>
      <c r="P99" s="2" t="str">
        <f t="shared" si="4"/>
        <v>Low Sale</v>
      </c>
      <c r="Q99" s="2"/>
      <c r="R99" t="str">
        <f t="shared" si="5"/>
        <v>Average</v>
      </c>
      <c r="S99">
        <f>ROWS(Table1[Order ID])</f>
        <v>150</v>
      </c>
    </row>
    <row r="100" spans="1:19" x14ac:dyDescent="0.3">
      <c r="A100" s="3">
        <v>1099</v>
      </c>
      <c r="B100" s="7">
        <v>46016</v>
      </c>
      <c r="C100" s="3" t="s">
        <v>14</v>
      </c>
      <c r="D100" s="3" t="s">
        <v>15</v>
      </c>
      <c r="E100" s="3" t="s">
        <v>16</v>
      </c>
      <c r="F100" s="3" t="s">
        <v>41</v>
      </c>
      <c r="G100" s="3" t="s">
        <v>42</v>
      </c>
      <c r="H100" s="3" t="s">
        <v>59</v>
      </c>
      <c r="I100" s="3">
        <v>8</v>
      </c>
      <c r="J100" s="4">
        <v>28000</v>
      </c>
      <c r="K100" s="5">
        <v>0.05</v>
      </c>
      <c r="L100" s="4">
        <v>212800</v>
      </c>
      <c r="M100" s="3" t="s">
        <v>35</v>
      </c>
      <c r="N100" s="3" t="s">
        <v>31</v>
      </c>
      <c r="O100" s="2"/>
      <c r="P100" s="2" t="str">
        <f t="shared" si="4"/>
        <v>High Sale</v>
      </c>
      <c r="Q100" s="2"/>
      <c r="R100" t="str">
        <f t="shared" si="5"/>
        <v>Excellent</v>
      </c>
      <c r="S100">
        <f>ROWS(Table1[Order ID])</f>
        <v>150</v>
      </c>
    </row>
    <row r="101" spans="1:19" x14ac:dyDescent="0.3">
      <c r="A101" s="3">
        <v>1100</v>
      </c>
      <c r="B101" s="7">
        <v>45823</v>
      </c>
      <c r="C101" s="3" t="s">
        <v>14</v>
      </c>
      <c r="D101" s="3" t="s">
        <v>15</v>
      </c>
      <c r="E101" s="3" t="s">
        <v>16</v>
      </c>
      <c r="F101" s="3" t="s">
        <v>27</v>
      </c>
      <c r="G101" s="3" t="s">
        <v>28</v>
      </c>
      <c r="H101" s="3" t="s">
        <v>34</v>
      </c>
      <c r="I101" s="3">
        <v>1</v>
      </c>
      <c r="J101" s="4">
        <v>28000</v>
      </c>
      <c r="K101" s="5">
        <v>0.1</v>
      </c>
      <c r="L101" s="4">
        <v>25200</v>
      </c>
      <c r="M101" s="3" t="s">
        <v>30</v>
      </c>
      <c r="N101" s="3" t="s">
        <v>21</v>
      </c>
      <c r="O101" s="2"/>
      <c r="P101" s="2" t="str">
        <f t="shared" si="4"/>
        <v>Low Sale</v>
      </c>
      <c r="Q101" s="2"/>
      <c r="R101" t="str">
        <f t="shared" si="5"/>
        <v>Average</v>
      </c>
      <c r="S101">
        <f>ROWS(Table1[Order ID])</f>
        <v>150</v>
      </c>
    </row>
    <row r="102" spans="1:19" x14ac:dyDescent="0.3">
      <c r="A102" s="3">
        <v>1101</v>
      </c>
      <c r="B102" s="7">
        <v>45953</v>
      </c>
      <c r="C102" s="3" t="s">
        <v>70</v>
      </c>
      <c r="D102" s="3" t="s">
        <v>71</v>
      </c>
      <c r="E102" s="3" t="s">
        <v>52</v>
      </c>
      <c r="F102" s="3" t="s">
        <v>22</v>
      </c>
      <c r="G102" s="3" t="s">
        <v>18</v>
      </c>
      <c r="H102" s="3" t="s">
        <v>62</v>
      </c>
      <c r="I102" s="3">
        <v>1</v>
      </c>
      <c r="J102" s="4">
        <v>11000</v>
      </c>
      <c r="K102" s="5">
        <v>0.05</v>
      </c>
      <c r="L102" s="4">
        <v>10450</v>
      </c>
      <c r="M102" s="3" t="s">
        <v>35</v>
      </c>
      <c r="N102" s="3" t="s">
        <v>36</v>
      </c>
      <c r="O102" s="2"/>
      <c r="P102" s="2" t="str">
        <f t="shared" si="4"/>
        <v>Low Sale</v>
      </c>
      <c r="Q102" s="2"/>
      <c r="R102" t="str">
        <f t="shared" si="5"/>
        <v>Average</v>
      </c>
      <c r="S102">
        <f>ROWS(Table1[Order ID])</f>
        <v>150</v>
      </c>
    </row>
    <row r="103" spans="1:19" x14ac:dyDescent="0.3">
      <c r="A103" s="3">
        <v>1102</v>
      </c>
      <c r="B103" s="7">
        <v>45704</v>
      </c>
      <c r="C103" s="3" t="s">
        <v>45</v>
      </c>
      <c r="D103" s="3" t="s">
        <v>46</v>
      </c>
      <c r="E103" s="3" t="s">
        <v>16</v>
      </c>
      <c r="F103" s="3" t="s">
        <v>41</v>
      </c>
      <c r="G103" s="3" t="s">
        <v>42</v>
      </c>
      <c r="H103" s="3" t="s">
        <v>67</v>
      </c>
      <c r="I103" s="3">
        <v>7</v>
      </c>
      <c r="J103" s="4">
        <v>22000</v>
      </c>
      <c r="K103" s="5">
        <v>0.1</v>
      </c>
      <c r="L103" s="4">
        <v>138600</v>
      </c>
      <c r="M103" s="3" t="s">
        <v>43</v>
      </c>
      <c r="N103" s="3" t="s">
        <v>36</v>
      </c>
      <c r="O103" s="2"/>
      <c r="P103" s="2" t="str">
        <f t="shared" si="4"/>
        <v>High Sale</v>
      </c>
      <c r="Q103" s="2"/>
      <c r="R103" t="str">
        <f t="shared" si="5"/>
        <v>Excellent</v>
      </c>
      <c r="S103">
        <f>ROWS(Table1[Order ID])</f>
        <v>150</v>
      </c>
    </row>
    <row r="104" spans="1:19" x14ac:dyDescent="0.3">
      <c r="A104" s="3">
        <v>1103</v>
      </c>
      <c r="B104" s="7">
        <v>45868</v>
      </c>
      <c r="C104" s="3" t="s">
        <v>14</v>
      </c>
      <c r="D104" s="3" t="s">
        <v>15</v>
      </c>
      <c r="E104" s="3" t="s">
        <v>16</v>
      </c>
      <c r="F104" s="3" t="s">
        <v>41</v>
      </c>
      <c r="G104" s="3" t="s">
        <v>42</v>
      </c>
      <c r="H104" s="3" t="s">
        <v>65</v>
      </c>
      <c r="I104" s="3">
        <v>3</v>
      </c>
      <c r="J104" s="4">
        <v>28000</v>
      </c>
      <c r="K104" s="5">
        <v>0.05</v>
      </c>
      <c r="L104" s="4">
        <v>79800</v>
      </c>
      <c r="M104" s="3" t="s">
        <v>35</v>
      </c>
      <c r="N104" s="3" t="s">
        <v>21</v>
      </c>
      <c r="O104" s="2" t="str">
        <f>VLOOKUP("P002", C2:D13, 2, FALSE)</f>
        <v>Smartphone</v>
      </c>
      <c r="P104" s="2" t="str">
        <f t="shared" si="4"/>
        <v>Low Sale</v>
      </c>
      <c r="Q104" s="2" t="str">
        <f>INDEX('Cleaned data'!D2:D120,MATCH(1101,'Cleaned data'!A2:A120,0))</f>
        <v>Desk</v>
      </c>
      <c r="R104" t="str">
        <f t="shared" si="5"/>
        <v>Good</v>
      </c>
      <c r="S104">
        <f>ROWS(Table1[Order ID])</f>
        <v>150</v>
      </c>
    </row>
    <row r="105" spans="1:19" x14ac:dyDescent="0.3">
      <c r="A105" s="3">
        <v>1104</v>
      </c>
      <c r="B105" s="7">
        <v>45819</v>
      </c>
      <c r="C105" s="3" t="s">
        <v>47</v>
      </c>
      <c r="D105" s="3" t="s">
        <v>48</v>
      </c>
      <c r="E105" s="3" t="s">
        <v>16</v>
      </c>
      <c r="F105" s="3" t="s">
        <v>27</v>
      </c>
      <c r="G105" s="3" t="s">
        <v>42</v>
      </c>
      <c r="H105" s="3" t="s">
        <v>84</v>
      </c>
      <c r="I105" s="3">
        <v>8</v>
      </c>
      <c r="J105" s="4">
        <v>55000</v>
      </c>
      <c r="K105" s="5">
        <v>0</v>
      </c>
      <c r="L105" s="4">
        <v>440000</v>
      </c>
      <c r="M105" s="3" t="s">
        <v>35</v>
      </c>
      <c r="N105" s="3" t="s">
        <v>21</v>
      </c>
      <c r="O105" s="2"/>
      <c r="P105" s="2" t="str">
        <f t="shared" si="4"/>
        <v>High Sale</v>
      </c>
      <c r="Q105" s="2"/>
      <c r="R105" t="str">
        <f t="shared" si="5"/>
        <v>Excellent</v>
      </c>
      <c r="S105">
        <f>ROWS(Table1[Order ID])</f>
        <v>150</v>
      </c>
    </row>
    <row r="106" spans="1:19" x14ac:dyDescent="0.3">
      <c r="A106" s="3">
        <v>1105</v>
      </c>
      <c r="B106" s="7">
        <v>45685</v>
      </c>
      <c r="C106" s="3" t="s">
        <v>47</v>
      </c>
      <c r="D106" s="3" t="s">
        <v>48</v>
      </c>
      <c r="E106" s="3" t="s">
        <v>16</v>
      </c>
      <c r="F106" s="3" t="s">
        <v>17</v>
      </c>
      <c r="G106" s="3" t="s">
        <v>57</v>
      </c>
      <c r="H106" s="3" t="s">
        <v>75</v>
      </c>
      <c r="I106" s="3">
        <v>8</v>
      </c>
      <c r="J106" s="4">
        <v>55000</v>
      </c>
      <c r="K106" s="5">
        <v>0.1</v>
      </c>
      <c r="L106" s="4">
        <v>396000</v>
      </c>
      <c r="M106" s="3" t="s">
        <v>35</v>
      </c>
      <c r="N106" s="3" t="s">
        <v>31</v>
      </c>
      <c r="O106" s="2"/>
      <c r="P106" s="2" t="str">
        <f t="shared" si="4"/>
        <v>High Sale</v>
      </c>
      <c r="Q106" s="2"/>
      <c r="R106" t="str">
        <f t="shared" si="5"/>
        <v>Excellent</v>
      </c>
      <c r="S106">
        <f>ROWS(Table1[Order ID])</f>
        <v>150</v>
      </c>
    </row>
    <row r="107" spans="1:19" x14ac:dyDescent="0.3">
      <c r="A107" s="3">
        <v>1106</v>
      </c>
      <c r="B107" s="7">
        <v>45939</v>
      </c>
      <c r="C107" s="3" t="s">
        <v>47</v>
      </c>
      <c r="D107" s="3" t="s">
        <v>48</v>
      </c>
      <c r="E107" s="3" t="s">
        <v>16</v>
      </c>
      <c r="F107" s="3" t="s">
        <v>17</v>
      </c>
      <c r="G107" s="3" t="s">
        <v>42</v>
      </c>
      <c r="H107" s="3" t="s">
        <v>38</v>
      </c>
      <c r="I107" s="3">
        <v>4</v>
      </c>
      <c r="J107" s="4">
        <v>55000</v>
      </c>
      <c r="K107" s="5">
        <v>0.05</v>
      </c>
      <c r="L107" s="4">
        <v>209000</v>
      </c>
      <c r="M107" s="3" t="s">
        <v>35</v>
      </c>
      <c r="N107" s="3" t="s">
        <v>36</v>
      </c>
      <c r="O107" s="2"/>
      <c r="P107" s="2" t="str">
        <f t="shared" si="4"/>
        <v>High Sale</v>
      </c>
      <c r="Q107" s="2"/>
      <c r="R107" t="str">
        <f t="shared" si="5"/>
        <v>Excellent</v>
      </c>
      <c r="S107">
        <f>ROWS(Table1[Order ID])</f>
        <v>150</v>
      </c>
    </row>
    <row r="108" spans="1:19" x14ac:dyDescent="0.3">
      <c r="A108" s="3">
        <v>1107</v>
      </c>
      <c r="B108" s="7">
        <v>45817</v>
      </c>
      <c r="C108" s="3" t="s">
        <v>47</v>
      </c>
      <c r="D108" s="3" t="s">
        <v>48</v>
      </c>
      <c r="E108" s="3" t="s">
        <v>16</v>
      </c>
      <c r="F108" s="3" t="s">
        <v>22</v>
      </c>
      <c r="G108" s="3" t="s">
        <v>57</v>
      </c>
      <c r="H108" s="3" t="s">
        <v>67</v>
      </c>
      <c r="I108" s="3">
        <v>4</v>
      </c>
      <c r="J108" s="4">
        <v>55000</v>
      </c>
      <c r="K108" s="5">
        <v>0</v>
      </c>
      <c r="L108" s="4">
        <v>220000</v>
      </c>
      <c r="M108" s="3" t="s">
        <v>20</v>
      </c>
      <c r="N108" s="3" t="s">
        <v>36</v>
      </c>
      <c r="O108" s="2"/>
      <c r="P108" s="2" t="str">
        <f t="shared" si="4"/>
        <v>High Sale</v>
      </c>
      <c r="Q108" s="2"/>
      <c r="R108" t="str">
        <f t="shared" si="5"/>
        <v>Excellent</v>
      </c>
      <c r="S108">
        <f>ROWS(Table1[Order ID])</f>
        <v>150</v>
      </c>
    </row>
    <row r="109" spans="1:19" x14ac:dyDescent="0.3">
      <c r="A109" s="3">
        <v>1108</v>
      </c>
      <c r="B109" s="7">
        <v>45989</v>
      </c>
      <c r="C109" s="3" t="s">
        <v>14</v>
      </c>
      <c r="D109" s="3" t="s">
        <v>15</v>
      </c>
      <c r="E109" s="3" t="s">
        <v>16</v>
      </c>
      <c r="F109" s="3" t="s">
        <v>17</v>
      </c>
      <c r="G109" s="3" t="s">
        <v>58</v>
      </c>
      <c r="H109" s="3" t="s">
        <v>44</v>
      </c>
      <c r="I109" s="3">
        <v>8</v>
      </c>
      <c r="J109" s="4">
        <v>28000</v>
      </c>
      <c r="K109" s="5">
        <v>0</v>
      </c>
      <c r="L109" s="4">
        <v>224000</v>
      </c>
      <c r="M109" s="3" t="s">
        <v>43</v>
      </c>
      <c r="N109" s="3" t="s">
        <v>21</v>
      </c>
      <c r="O109" s="2"/>
      <c r="P109" s="2" t="str">
        <f t="shared" si="4"/>
        <v>High Sale</v>
      </c>
      <c r="Q109" s="2"/>
      <c r="R109" t="str">
        <f t="shared" si="5"/>
        <v>Excellent</v>
      </c>
      <c r="S109">
        <f>ROWS(Table1[Order ID])</f>
        <v>150</v>
      </c>
    </row>
    <row r="110" spans="1:19" x14ac:dyDescent="0.3">
      <c r="A110" s="3">
        <v>1109</v>
      </c>
      <c r="B110" s="7">
        <v>45899</v>
      </c>
      <c r="C110" s="3" t="s">
        <v>39</v>
      </c>
      <c r="D110" s="3" t="s">
        <v>40</v>
      </c>
      <c r="E110" s="3" t="s">
        <v>26</v>
      </c>
      <c r="F110" s="3" t="s">
        <v>17</v>
      </c>
      <c r="G110" s="3" t="s">
        <v>58</v>
      </c>
      <c r="H110" s="3" t="s">
        <v>78</v>
      </c>
      <c r="I110" s="3">
        <v>7</v>
      </c>
      <c r="J110" s="4">
        <v>1200</v>
      </c>
      <c r="K110" s="5">
        <v>0.1</v>
      </c>
      <c r="L110" s="4">
        <v>7560</v>
      </c>
      <c r="M110" s="3" t="s">
        <v>30</v>
      </c>
      <c r="N110" s="3" t="s">
        <v>31</v>
      </c>
      <c r="O110" s="2"/>
      <c r="P110" s="2" t="str">
        <f t="shared" si="4"/>
        <v>Low Sale</v>
      </c>
      <c r="Q110" s="2"/>
      <c r="R110" t="str">
        <f t="shared" si="5"/>
        <v>Average</v>
      </c>
      <c r="S110">
        <f>ROWS(Table1[Order ID])</f>
        <v>150</v>
      </c>
    </row>
    <row r="111" spans="1:19" x14ac:dyDescent="0.3">
      <c r="A111" s="3">
        <v>1110</v>
      </c>
      <c r="B111" s="7">
        <v>45799</v>
      </c>
      <c r="C111" s="3" t="s">
        <v>24</v>
      </c>
      <c r="D111" s="3" t="s">
        <v>25</v>
      </c>
      <c r="E111" s="3" t="s">
        <v>26</v>
      </c>
      <c r="F111" s="3" t="s">
        <v>41</v>
      </c>
      <c r="G111" s="3" t="s">
        <v>42</v>
      </c>
      <c r="H111" s="3" t="s">
        <v>44</v>
      </c>
      <c r="I111" s="3">
        <v>3</v>
      </c>
      <c r="J111" s="4">
        <v>2500</v>
      </c>
      <c r="K111" s="5">
        <v>0</v>
      </c>
      <c r="L111" s="4">
        <v>7500</v>
      </c>
      <c r="M111" s="3" t="s">
        <v>43</v>
      </c>
      <c r="N111" s="3" t="s">
        <v>36</v>
      </c>
      <c r="O111" s="2"/>
      <c r="P111" s="2" t="str">
        <f t="shared" si="4"/>
        <v>Low Sale</v>
      </c>
      <c r="Q111" s="2"/>
      <c r="R111" t="str">
        <f t="shared" si="5"/>
        <v>Average</v>
      </c>
      <c r="S111">
        <f>ROWS(Table1[Order ID])</f>
        <v>150</v>
      </c>
    </row>
    <row r="112" spans="1:19" x14ac:dyDescent="0.3">
      <c r="A112" s="3">
        <v>1111</v>
      </c>
      <c r="B112" s="7">
        <v>45954</v>
      </c>
      <c r="C112" s="3" t="s">
        <v>39</v>
      </c>
      <c r="D112" s="3" t="s">
        <v>40</v>
      </c>
      <c r="E112" s="3" t="s">
        <v>26</v>
      </c>
      <c r="F112" s="3" t="s">
        <v>41</v>
      </c>
      <c r="G112" s="3" t="s">
        <v>18</v>
      </c>
      <c r="H112" s="3" t="s">
        <v>38</v>
      </c>
      <c r="I112" s="3">
        <v>5</v>
      </c>
      <c r="J112" s="4">
        <v>1200</v>
      </c>
      <c r="K112" s="5">
        <v>0.15</v>
      </c>
      <c r="L112" s="4">
        <v>5100</v>
      </c>
      <c r="M112" s="3" t="s">
        <v>35</v>
      </c>
      <c r="N112" s="3" t="s">
        <v>36</v>
      </c>
      <c r="O112" s="2"/>
      <c r="P112" s="2" t="str">
        <f t="shared" si="4"/>
        <v>Low Sale</v>
      </c>
      <c r="Q112" s="2"/>
      <c r="R112" t="str">
        <f t="shared" si="5"/>
        <v>Average</v>
      </c>
      <c r="S112">
        <f>ROWS(Table1[Order ID])</f>
        <v>150</v>
      </c>
    </row>
    <row r="113" spans="1:19" x14ac:dyDescent="0.3">
      <c r="A113" s="3">
        <v>1112</v>
      </c>
      <c r="B113" s="7">
        <v>45822</v>
      </c>
      <c r="C113" s="3" t="s">
        <v>32</v>
      </c>
      <c r="D113" s="3" t="s">
        <v>33</v>
      </c>
      <c r="E113" s="3" t="s">
        <v>26</v>
      </c>
      <c r="F113" s="3" t="s">
        <v>17</v>
      </c>
      <c r="G113" s="3" t="s">
        <v>37</v>
      </c>
      <c r="H113" s="3" t="s">
        <v>23</v>
      </c>
      <c r="I113" s="3">
        <v>7</v>
      </c>
      <c r="J113" s="4">
        <v>800</v>
      </c>
      <c r="K113" s="5">
        <v>0.1</v>
      </c>
      <c r="L113" s="4">
        <v>5040</v>
      </c>
      <c r="M113" s="3" t="s">
        <v>35</v>
      </c>
      <c r="N113" s="3" t="s">
        <v>36</v>
      </c>
      <c r="O113" s="2"/>
      <c r="P113" s="2" t="str">
        <f t="shared" si="4"/>
        <v>Low Sale</v>
      </c>
      <c r="Q113" s="2"/>
      <c r="R113" t="str">
        <f t="shared" si="5"/>
        <v>Average</v>
      </c>
      <c r="S113">
        <f>ROWS(Table1[Order ID])</f>
        <v>150</v>
      </c>
    </row>
    <row r="114" spans="1:19" x14ac:dyDescent="0.3">
      <c r="A114" s="3">
        <v>1113</v>
      </c>
      <c r="B114" s="7">
        <v>45900</v>
      </c>
      <c r="C114" s="3" t="s">
        <v>68</v>
      </c>
      <c r="D114" s="3" t="s">
        <v>69</v>
      </c>
      <c r="E114" s="3" t="s">
        <v>16</v>
      </c>
      <c r="F114" s="3" t="s">
        <v>41</v>
      </c>
      <c r="G114" s="3" t="s">
        <v>58</v>
      </c>
      <c r="H114" s="3" t="s">
        <v>65</v>
      </c>
      <c r="I114" s="3">
        <v>1</v>
      </c>
      <c r="J114" s="4">
        <v>15000</v>
      </c>
      <c r="K114" s="5">
        <v>0.05</v>
      </c>
      <c r="L114" s="4">
        <v>14250</v>
      </c>
      <c r="M114" s="3" t="s">
        <v>30</v>
      </c>
      <c r="N114" s="3" t="s">
        <v>31</v>
      </c>
      <c r="O114" s="2"/>
      <c r="P114" s="2" t="str">
        <f t="shared" si="4"/>
        <v>Low Sale</v>
      </c>
      <c r="Q114" s="2"/>
      <c r="R114" t="str">
        <f t="shared" si="5"/>
        <v>Average</v>
      </c>
      <c r="S114">
        <f>ROWS(Table1[Order ID])</f>
        <v>150</v>
      </c>
    </row>
    <row r="115" spans="1:19" x14ac:dyDescent="0.3">
      <c r="A115" s="3">
        <v>1114</v>
      </c>
      <c r="B115" s="7">
        <v>45960</v>
      </c>
      <c r="C115" s="3" t="s">
        <v>47</v>
      </c>
      <c r="D115" s="3" t="s">
        <v>48</v>
      </c>
      <c r="E115" s="3" t="s">
        <v>16</v>
      </c>
      <c r="F115" s="3" t="s">
        <v>27</v>
      </c>
      <c r="G115" s="3" t="s">
        <v>28</v>
      </c>
      <c r="H115" s="3" t="s">
        <v>76</v>
      </c>
      <c r="I115" s="3">
        <v>3</v>
      </c>
      <c r="J115" s="4">
        <v>55000</v>
      </c>
      <c r="K115" s="5">
        <v>0.15</v>
      </c>
      <c r="L115" s="4">
        <v>140250</v>
      </c>
      <c r="M115" s="3" t="s">
        <v>35</v>
      </c>
      <c r="N115" s="3" t="s">
        <v>36</v>
      </c>
      <c r="O115" s="2"/>
      <c r="P115" s="2" t="str">
        <f t="shared" si="4"/>
        <v>High Sale</v>
      </c>
      <c r="Q115" s="2"/>
      <c r="R115" t="str">
        <f t="shared" si="5"/>
        <v>Excellent</v>
      </c>
      <c r="S115">
        <f>ROWS(Table1[Order ID])</f>
        <v>150</v>
      </c>
    </row>
    <row r="116" spans="1:19" x14ac:dyDescent="0.3">
      <c r="A116" s="3">
        <v>1115</v>
      </c>
      <c r="B116" s="7">
        <v>45731</v>
      </c>
      <c r="C116" s="3" t="s">
        <v>50</v>
      </c>
      <c r="D116" s="3" t="s">
        <v>51</v>
      </c>
      <c r="E116" s="3" t="s">
        <v>52</v>
      </c>
      <c r="F116" s="3" t="s">
        <v>41</v>
      </c>
      <c r="G116" s="3" t="s">
        <v>37</v>
      </c>
      <c r="H116" s="3" t="s">
        <v>85</v>
      </c>
      <c r="I116" s="3">
        <v>8</v>
      </c>
      <c r="J116" s="4">
        <v>8500</v>
      </c>
      <c r="K116" s="5">
        <v>0</v>
      </c>
      <c r="L116" s="4">
        <v>68000</v>
      </c>
      <c r="M116" s="3" t="s">
        <v>20</v>
      </c>
      <c r="N116" s="3" t="s">
        <v>31</v>
      </c>
      <c r="O116" s="2"/>
      <c r="P116" s="2" t="str">
        <f t="shared" si="4"/>
        <v>Low Sale</v>
      </c>
      <c r="Q116" s="2"/>
      <c r="R116" t="str">
        <f t="shared" si="5"/>
        <v>Good</v>
      </c>
      <c r="S116">
        <f>ROWS(Table1[Order ID])</f>
        <v>150</v>
      </c>
    </row>
    <row r="117" spans="1:19" x14ac:dyDescent="0.3">
      <c r="A117" s="3">
        <v>1116</v>
      </c>
      <c r="B117" s="7">
        <v>46012</v>
      </c>
      <c r="C117" s="3" t="s">
        <v>39</v>
      </c>
      <c r="D117" s="3" t="s">
        <v>40</v>
      </c>
      <c r="E117" s="3" t="s">
        <v>26</v>
      </c>
      <c r="F117" s="3" t="s">
        <v>41</v>
      </c>
      <c r="G117" s="3" t="s">
        <v>37</v>
      </c>
      <c r="H117" s="3" t="s">
        <v>34</v>
      </c>
      <c r="I117" s="3">
        <v>6</v>
      </c>
      <c r="J117" s="4">
        <v>1200</v>
      </c>
      <c r="K117" s="5">
        <v>0.15</v>
      </c>
      <c r="L117" s="4">
        <v>6120</v>
      </c>
      <c r="M117" s="3" t="s">
        <v>43</v>
      </c>
      <c r="N117" s="3" t="s">
        <v>21</v>
      </c>
      <c r="O117" s="2"/>
      <c r="P117" s="2" t="str">
        <f t="shared" si="4"/>
        <v>Low Sale</v>
      </c>
      <c r="Q117" s="2"/>
      <c r="R117" t="str">
        <f t="shared" si="5"/>
        <v>Average</v>
      </c>
      <c r="S117">
        <f>ROWS(Table1[Order ID])</f>
        <v>150</v>
      </c>
    </row>
    <row r="118" spans="1:19" x14ac:dyDescent="0.3">
      <c r="A118" s="3">
        <v>1117</v>
      </c>
      <c r="B118" s="7">
        <v>45935</v>
      </c>
      <c r="C118" s="3" t="s">
        <v>68</v>
      </c>
      <c r="D118" s="3" t="s">
        <v>69</v>
      </c>
      <c r="E118" s="3" t="s">
        <v>16</v>
      </c>
      <c r="F118" s="3" t="s">
        <v>22</v>
      </c>
      <c r="G118" s="3" t="s">
        <v>57</v>
      </c>
      <c r="H118" s="3" t="s">
        <v>34</v>
      </c>
      <c r="I118" s="3">
        <v>6</v>
      </c>
      <c r="J118" s="4">
        <v>15000</v>
      </c>
      <c r="K118" s="5">
        <v>0.1</v>
      </c>
      <c r="L118" s="4">
        <v>81000</v>
      </c>
      <c r="M118" s="3" t="s">
        <v>30</v>
      </c>
      <c r="N118" s="3" t="s">
        <v>36</v>
      </c>
      <c r="O118" s="2"/>
      <c r="P118" s="2" t="str">
        <f t="shared" si="4"/>
        <v>Low Sale</v>
      </c>
      <c r="Q118" s="2"/>
      <c r="R118" t="str">
        <f t="shared" si="5"/>
        <v>Good</v>
      </c>
      <c r="S118">
        <f>ROWS(Table1[Order ID])</f>
        <v>150</v>
      </c>
    </row>
    <row r="119" spans="1:19" x14ac:dyDescent="0.3">
      <c r="A119" s="3">
        <v>1118</v>
      </c>
      <c r="B119" s="7">
        <v>45708</v>
      </c>
      <c r="C119" s="3" t="s">
        <v>24</v>
      </c>
      <c r="D119" s="3" t="s">
        <v>25</v>
      </c>
      <c r="E119" s="3" t="s">
        <v>26</v>
      </c>
      <c r="F119" s="3" t="s">
        <v>22</v>
      </c>
      <c r="G119" s="3" t="s">
        <v>58</v>
      </c>
      <c r="H119" s="3" t="s">
        <v>56</v>
      </c>
      <c r="I119" s="3">
        <v>2</v>
      </c>
      <c r="J119" s="4">
        <v>2500</v>
      </c>
      <c r="K119" s="5">
        <v>0.1</v>
      </c>
      <c r="L119" s="4">
        <v>4500</v>
      </c>
      <c r="M119" s="3" t="s">
        <v>43</v>
      </c>
      <c r="N119" s="3" t="s">
        <v>36</v>
      </c>
      <c r="O119" s="2"/>
      <c r="P119" s="2" t="str">
        <f t="shared" si="4"/>
        <v>Low Sale</v>
      </c>
      <c r="Q119" s="2"/>
      <c r="R119" t="str">
        <f t="shared" si="5"/>
        <v>Average</v>
      </c>
      <c r="S119">
        <f>ROWS(Table1[Order ID])</f>
        <v>150</v>
      </c>
    </row>
    <row r="120" spans="1:19" x14ac:dyDescent="0.3">
      <c r="A120" s="3">
        <v>1119</v>
      </c>
      <c r="B120" s="7">
        <v>45808</v>
      </c>
      <c r="C120" s="3" t="s">
        <v>47</v>
      </c>
      <c r="D120" s="3" t="s">
        <v>48</v>
      </c>
      <c r="E120" s="3" t="s">
        <v>16</v>
      </c>
      <c r="F120" s="3" t="s">
        <v>27</v>
      </c>
      <c r="G120" s="3" t="s">
        <v>42</v>
      </c>
      <c r="H120" s="3" t="s">
        <v>67</v>
      </c>
      <c r="I120" s="3">
        <v>6</v>
      </c>
      <c r="J120" s="4">
        <v>55000</v>
      </c>
      <c r="K120" s="5">
        <v>0</v>
      </c>
      <c r="L120" s="4">
        <v>330000</v>
      </c>
      <c r="M120" s="3" t="s">
        <v>30</v>
      </c>
      <c r="N120" s="3" t="s">
        <v>36</v>
      </c>
      <c r="O120" s="2"/>
      <c r="P120" s="2" t="str">
        <f t="shared" si="4"/>
        <v>High Sale</v>
      </c>
      <c r="Q120" s="2"/>
      <c r="R120" t="str">
        <f t="shared" si="5"/>
        <v>Excellent</v>
      </c>
      <c r="S120">
        <f>ROWS(Table1[Order ID])</f>
        <v>150</v>
      </c>
    </row>
    <row r="121" spans="1:19" x14ac:dyDescent="0.3">
      <c r="A121" s="3">
        <v>1120</v>
      </c>
      <c r="B121" s="7">
        <v>46007</v>
      </c>
      <c r="C121" s="3" t="s">
        <v>50</v>
      </c>
      <c r="D121" s="3" t="s">
        <v>51</v>
      </c>
      <c r="E121" s="3" t="s">
        <v>52</v>
      </c>
      <c r="F121" s="3" t="s">
        <v>17</v>
      </c>
      <c r="G121" s="3" t="s">
        <v>18</v>
      </c>
      <c r="H121" s="3" t="s">
        <v>56</v>
      </c>
      <c r="I121" s="3">
        <v>7</v>
      </c>
      <c r="J121" s="4">
        <v>8500</v>
      </c>
      <c r="K121" s="5">
        <v>0.15</v>
      </c>
      <c r="L121" s="4">
        <v>50575</v>
      </c>
      <c r="M121" s="3" t="s">
        <v>20</v>
      </c>
      <c r="N121" s="3" t="s">
        <v>21</v>
      </c>
      <c r="O121" s="2"/>
      <c r="P121" s="2" t="str">
        <f t="shared" si="4"/>
        <v>Low Sale</v>
      </c>
      <c r="Q121" s="2"/>
      <c r="R121" t="str">
        <f t="shared" si="5"/>
        <v>Good</v>
      </c>
      <c r="S121">
        <f>ROWS(Table1[Order ID])</f>
        <v>150</v>
      </c>
    </row>
    <row r="122" spans="1:19" x14ac:dyDescent="0.3">
      <c r="A122" s="3">
        <v>1121</v>
      </c>
      <c r="B122" s="7">
        <v>45956</v>
      </c>
      <c r="C122" s="3" t="s">
        <v>68</v>
      </c>
      <c r="D122" s="3" t="s">
        <v>69</v>
      </c>
      <c r="E122" s="3" t="s">
        <v>16</v>
      </c>
      <c r="F122" s="3" t="s">
        <v>17</v>
      </c>
      <c r="G122" s="3" t="s">
        <v>18</v>
      </c>
      <c r="H122" s="3" t="s">
        <v>38</v>
      </c>
      <c r="I122" s="3">
        <v>4</v>
      </c>
      <c r="J122" s="4">
        <v>15000</v>
      </c>
      <c r="K122" s="5">
        <v>0.1</v>
      </c>
      <c r="L122" s="4">
        <v>54000</v>
      </c>
      <c r="M122" s="3" t="s">
        <v>43</v>
      </c>
      <c r="N122" s="3" t="s">
        <v>31</v>
      </c>
      <c r="O122" s="2"/>
      <c r="P122" s="2" t="str">
        <f t="shared" si="4"/>
        <v>Low Sale</v>
      </c>
      <c r="Q122" s="2"/>
      <c r="R122" t="str">
        <f t="shared" si="5"/>
        <v>Good</v>
      </c>
      <c r="S122">
        <f>ROWS(Table1[Order ID])</f>
        <v>150</v>
      </c>
    </row>
    <row r="123" spans="1:19" x14ac:dyDescent="0.3">
      <c r="A123" s="3">
        <v>1122</v>
      </c>
      <c r="B123" s="7">
        <v>45805</v>
      </c>
      <c r="C123" s="3" t="s">
        <v>39</v>
      </c>
      <c r="D123" s="3" t="s">
        <v>40</v>
      </c>
      <c r="E123" s="3" t="s">
        <v>26</v>
      </c>
      <c r="F123" s="3" t="s">
        <v>17</v>
      </c>
      <c r="G123" s="3" t="s">
        <v>28</v>
      </c>
      <c r="H123" s="3" t="s">
        <v>38</v>
      </c>
      <c r="I123" s="3">
        <v>1</v>
      </c>
      <c r="J123" s="4">
        <v>1200</v>
      </c>
      <c r="K123" s="5">
        <v>0.1</v>
      </c>
      <c r="L123" s="4">
        <v>1080</v>
      </c>
      <c r="M123" s="3" t="s">
        <v>43</v>
      </c>
      <c r="N123" s="3" t="s">
        <v>21</v>
      </c>
      <c r="O123" s="2"/>
      <c r="P123" s="2" t="str">
        <f t="shared" si="4"/>
        <v>Low Sale</v>
      </c>
      <c r="Q123" s="2"/>
      <c r="R123" t="str">
        <f t="shared" si="5"/>
        <v>Average</v>
      </c>
      <c r="S123">
        <f>ROWS(Table1[Order ID])</f>
        <v>150</v>
      </c>
    </row>
    <row r="124" spans="1:19" x14ac:dyDescent="0.3">
      <c r="A124" s="3">
        <v>1123</v>
      </c>
      <c r="B124" s="7">
        <v>45891</v>
      </c>
      <c r="C124" s="3" t="s">
        <v>39</v>
      </c>
      <c r="D124" s="3" t="s">
        <v>40</v>
      </c>
      <c r="E124" s="3" t="s">
        <v>26</v>
      </c>
      <c r="F124" s="3" t="s">
        <v>27</v>
      </c>
      <c r="G124" s="3" t="s">
        <v>18</v>
      </c>
      <c r="H124" s="3" t="s">
        <v>86</v>
      </c>
      <c r="I124" s="3">
        <v>7</v>
      </c>
      <c r="J124" s="4">
        <v>1200</v>
      </c>
      <c r="K124" s="5">
        <v>0.05</v>
      </c>
      <c r="L124" s="4">
        <v>7980</v>
      </c>
      <c r="M124" s="3" t="s">
        <v>35</v>
      </c>
      <c r="N124" s="3" t="s">
        <v>36</v>
      </c>
      <c r="O124" s="2"/>
      <c r="P124" s="2" t="str">
        <f t="shared" si="4"/>
        <v>Low Sale</v>
      </c>
      <c r="Q124" s="2"/>
      <c r="R124" t="str">
        <f t="shared" si="5"/>
        <v>Average</v>
      </c>
      <c r="S124">
        <f>ROWS(Table1[Order ID])</f>
        <v>150</v>
      </c>
    </row>
    <row r="125" spans="1:19" x14ac:dyDescent="0.3">
      <c r="A125" s="3">
        <v>1124</v>
      </c>
      <c r="B125" s="7">
        <v>45841</v>
      </c>
      <c r="C125" s="3" t="s">
        <v>24</v>
      </c>
      <c r="D125" s="3" t="s">
        <v>25</v>
      </c>
      <c r="E125" s="3" t="s">
        <v>26</v>
      </c>
      <c r="F125" s="3" t="s">
        <v>27</v>
      </c>
      <c r="G125" s="3" t="s">
        <v>37</v>
      </c>
      <c r="H125" s="3" t="s">
        <v>63</v>
      </c>
      <c r="I125" s="3">
        <v>7</v>
      </c>
      <c r="J125" s="4">
        <v>2500</v>
      </c>
      <c r="K125" s="5">
        <v>0.15</v>
      </c>
      <c r="L125" s="4">
        <v>14875</v>
      </c>
      <c r="M125" s="3" t="s">
        <v>20</v>
      </c>
      <c r="N125" s="3" t="s">
        <v>31</v>
      </c>
      <c r="O125" s="2"/>
      <c r="P125" s="2" t="str">
        <f t="shared" si="4"/>
        <v>Low Sale</v>
      </c>
      <c r="Q125" s="2"/>
      <c r="R125" t="str">
        <f t="shared" si="5"/>
        <v>Average</v>
      </c>
      <c r="S125">
        <f>ROWS(Table1[Order ID])</f>
        <v>150</v>
      </c>
    </row>
    <row r="126" spans="1:19" x14ac:dyDescent="0.3">
      <c r="A126" s="3">
        <v>1125</v>
      </c>
      <c r="B126" s="7">
        <v>46009</v>
      </c>
      <c r="C126" s="3" t="s">
        <v>39</v>
      </c>
      <c r="D126" s="3" t="s">
        <v>40</v>
      </c>
      <c r="E126" s="3" t="s">
        <v>26</v>
      </c>
      <c r="F126" s="3" t="s">
        <v>22</v>
      </c>
      <c r="G126" s="3" t="s">
        <v>57</v>
      </c>
      <c r="H126" s="3" t="s">
        <v>19</v>
      </c>
      <c r="I126" s="3">
        <v>1</v>
      </c>
      <c r="J126" s="4">
        <v>1200</v>
      </c>
      <c r="K126" s="5">
        <v>0.15</v>
      </c>
      <c r="L126" s="4">
        <v>1020</v>
      </c>
      <c r="M126" s="3" t="s">
        <v>35</v>
      </c>
      <c r="N126" s="3" t="s">
        <v>36</v>
      </c>
      <c r="O126" s="2"/>
      <c r="P126" s="2" t="str">
        <f t="shared" si="4"/>
        <v>Low Sale</v>
      </c>
      <c r="Q126" s="2"/>
      <c r="R126" t="str">
        <f t="shared" si="5"/>
        <v>Average</v>
      </c>
      <c r="S126">
        <f>ROWS(Table1[Order ID])</f>
        <v>150</v>
      </c>
    </row>
    <row r="127" spans="1:19" x14ac:dyDescent="0.3">
      <c r="A127" s="3">
        <v>1126</v>
      </c>
      <c r="B127" s="7">
        <v>45983</v>
      </c>
      <c r="C127" s="3" t="s">
        <v>24</v>
      </c>
      <c r="D127" s="3" t="s">
        <v>25</v>
      </c>
      <c r="E127" s="3" t="s">
        <v>26</v>
      </c>
      <c r="F127" s="3" t="s">
        <v>17</v>
      </c>
      <c r="G127" s="3" t="s">
        <v>57</v>
      </c>
      <c r="H127" s="3" t="s">
        <v>49</v>
      </c>
      <c r="I127" s="3">
        <v>6</v>
      </c>
      <c r="J127" s="4">
        <v>2500</v>
      </c>
      <c r="K127" s="5">
        <v>0</v>
      </c>
      <c r="L127" s="4">
        <v>15000</v>
      </c>
      <c r="M127" s="3" t="s">
        <v>30</v>
      </c>
      <c r="N127" s="3" t="s">
        <v>36</v>
      </c>
      <c r="O127" s="2"/>
      <c r="P127" s="2" t="str">
        <f t="shared" si="4"/>
        <v>Low Sale</v>
      </c>
      <c r="Q127" s="2"/>
      <c r="R127" t="str">
        <f t="shared" si="5"/>
        <v>Average</v>
      </c>
      <c r="S127">
        <f>ROWS(Table1[Order ID])</f>
        <v>150</v>
      </c>
    </row>
    <row r="128" spans="1:19" x14ac:dyDescent="0.3">
      <c r="A128" s="3">
        <v>1127</v>
      </c>
      <c r="B128" s="7">
        <v>45675</v>
      </c>
      <c r="C128" s="3" t="s">
        <v>47</v>
      </c>
      <c r="D128" s="3" t="s">
        <v>48</v>
      </c>
      <c r="E128" s="3" t="s">
        <v>16</v>
      </c>
      <c r="F128" s="3" t="s">
        <v>27</v>
      </c>
      <c r="G128" s="3" t="s">
        <v>37</v>
      </c>
      <c r="H128" s="3" t="s">
        <v>85</v>
      </c>
      <c r="I128" s="3">
        <v>5</v>
      </c>
      <c r="J128" s="4">
        <v>55000</v>
      </c>
      <c r="K128" s="5">
        <v>0.1</v>
      </c>
      <c r="L128" s="4">
        <v>247500</v>
      </c>
      <c r="M128" s="3" t="s">
        <v>20</v>
      </c>
      <c r="N128" s="3" t="s">
        <v>36</v>
      </c>
      <c r="O128" s="2"/>
      <c r="P128" s="2" t="str">
        <f t="shared" si="4"/>
        <v>High Sale</v>
      </c>
      <c r="Q128" s="2"/>
      <c r="R128" t="str">
        <f t="shared" si="5"/>
        <v>Excellent</v>
      </c>
      <c r="S128">
        <f>ROWS(Table1[Order ID])</f>
        <v>150</v>
      </c>
    </row>
    <row r="129" spans="1:19" x14ac:dyDescent="0.3">
      <c r="A129" s="3">
        <v>1128</v>
      </c>
      <c r="B129" s="7">
        <v>45760</v>
      </c>
      <c r="C129" s="3" t="s">
        <v>32</v>
      </c>
      <c r="D129" s="3" t="s">
        <v>33</v>
      </c>
      <c r="E129" s="3" t="s">
        <v>26</v>
      </c>
      <c r="F129" s="3" t="s">
        <v>17</v>
      </c>
      <c r="G129" s="3" t="s">
        <v>57</v>
      </c>
      <c r="H129" s="3" t="s">
        <v>61</v>
      </c>
      <c r="I129" s="3">
        <v>7</v>
      </c>
      <c r="J129" s="4">
        <v>800</v>
      </c>
      <c r="K129" s="5">
        <v>0</v>
      </c>
      <c r="L129" s="4">
        <v>5600</v>
      </c>
      <c r="M129" s="3" t="s">
        <v>43</v>
      </c>
      <c r="N129" s="3" t="s">
        <v>21</v>
      </c>
      <c r="O129" s="2"/>
      <c r="P129" s="2" t="str">
        <f t="shared" si="4"/>
        <v>Low Sale</v>
      </c>
      <c r="Q129" s="2"/>
      <c r="R129" t="str">
        <f t="shared" si="5"/>
        <v>Average</v>
      </c>
      <c r="S129">
        <f>ROWS(Table1[Order ID])</f>
        <v>150</v>
      </c>
    </row>
    <row r="130" spans="1:19" x14ac:dyDescent="0.3">
      <c r="A130" s="3">
        <v>1129</v>
      </c>
      <c r="B130" s="7">
        <v>45789</v>
      </c>
      <c r="C130" s="3" t="s">
        <v>50</v>
      </c>
      <c r="D130" s="3" t="s">
        <v>51</v>
      </c>
      <c r="E130" s="3" t="s">
        <v>52</v>
      </c>
      <c r="F130" s="3" t="s">
        <v>41</v>
      </c>
      <c r="G130" s="3" t="s">
        <v>42</v>
      </c>
      <c r="H130" s="3" t="s">
        <v>19</v>
      </c>
      <c r="I130" s="3">
        <v>5</v>
      </c>
      <c r="J130" s="4">
        <v>8500</v>
      </c>
      <c r="K130" s="5">
        <v>0</v>
      </c>
      <c r="L130" s="4">
        <v>42500</v>
      </c>
      <c r="M130" s="3" t="s">
        <v>43</v>
      </c>
      <c r="N130" s="3" t="s">
        <v>36</v>
      </c>
      <c r="O130" s="2"/>
      <c r="P130" s="2" t="str">
        <f t="shared" si="4"/>
        <v>Low Sale</v>
      </c>
      <c r="Q130" s="2"/>
      <c r="R130" t="str">
        <f t="shared" ref="R130:R151" si="6">IF(L130&gt;=100000,"Excellent",IF(L130&gt;=50000,"Good","Average"))</f>
        <v>Average</v>
      </c>
      <c r="S130">
        <f>ROWS(Table1[Order ID])</f>
        <v>150</v>
      </c>
    </row>
    <row r="131" spans="1:19" x14ac:dyDescent="0.3">
      <c r="A131" s="3">
        <v>1130</v>
      </c>
      <c r="B131" s="7">
        <v>45773</v>
      </c>
      <c r="C131" s="3" t="s">
        <v>53</v>
      </c>
      <c r="D131" s="3" t="s">
        <v>54</v>
      </c>
      <c r="E131" s="3" t="s">
        <v>55</v>
      </c>
      <c r="F131" s="3" t="s">
        <v>41</v>
      </c>
      <c r="G131" s="3" t="s">
        <v>57</v>
      </c>
      <c r="H131" s="3" t="s">
        <v>75</v>
      </c>
      <c r="I131" s="3">
        <v>2</v>
      </c>
      <c r="J131" s="4">
        <v>12000</v>
      </c>
      <c r="K131" s="5">
        <v>0</v>
      </c>
      <c r="L131" s="4">
        <v>24000</v>
      </c>
      <c r="M131" s="3" t="s">
        <v>20</v>
      </c>
      <c r="N131" s="3" t="s">
        <v>31</v>
      </c>
      <c r="O131" s="2"/>
      <c r="P131" s="2" t="str">
        <f t="shared" ref="P131:P151" si="7">IF(L131&gt;100000, "High Sale", "Low Sale")</f>
        <v>Low Sale</v>
      </c>
      <c r="Q131" s="2"/>
      <c r="R131" t="str">
        <f t="shared" si="6"/>
        <v>Average</v>
      </c>
      <c r="S131">
        <f>ROWS(Table1[Order ID])</f>
        <v>150</v>
      </c>
    </row>
    <row r="132" spans="1:19" x14ac:dyDescent="0.3">
      <c r="A132" s="3">
        <v>1131</v>
      </c>
      <c r="B132" s="7">
        <v>45721</v>
      </c>
      <c r="C132" s="3" t="s">
        <v>47</v>
      </c>
      <c r="D132" s="3" t="s">
        <v>48</v>
      </c>
      <c r="E132" s="3" t="s">
        <v>16</v>
      </c>
      <c r="F132" s="3" t="s">
        <v>41</v>
      </c>
      <c r="G132" s="3" t="s">
        <v>42</v>
      </c>
      <c r="H132" s="3" t="s">
        <v>65</v>
      </c>
      <c r="I132" s="3">
        <v>5</v>
      </c>
      <c r="J132" s="4">
        <v>55000</v>
      </c>
      <c r="K132" s="5">
        <v>0.15</v>
      </c>
      <c r="L132" s="4">
        <v>233750</v>
      </c>
      <c r="M132" s="3" t="s">
        <v>43</v>
      </c>
      <c r="N132" s="3" t="s">
        <v>21</v>
      </c>
      <c r="O132" s="2"/>
      <c r="P132" s="2" t="str">
        <f t="shared" si="7"/>
        <v>High Sale</v>
      </c>
      <c r="Q132" s="2"/>
      <c r="R132" t="str">
        <f t="shared" si="6"/>
        <v>Excellent</v>
      </c>
      <c r="S132">
        <f>ROWS(Table1[Order ID])</f>
        <v>150</v>
      </c>
    </row>
    <row r="133" spans="1:19" x14ac:dyDescent="0.3">
      <c r="A133" s="3">
        <v>1132</v>
      </c>
      <c r="B133" s="7">
        <v>46003</v>
      </c>
      <c r="C133" s="3" t="s">
        <v>68</v>
      </c>
      <c r="D133" s="3" t="s">
        <v>69</v>
      </c>
      <c r="E133" s="3" t="s">
        <v>16</v>
      </c>
      <c r="F133" s="3" t="s">
        <v>17</v>
      </c>
      <c r="G133" s="3" t="s">
        <v>58</v>
      </c>
      <c r="H133" s="3" t="s">
        <v>81</v>
      </c>
      <c r="I133" s="3">
        <v>6</v>
      </c>
      <c r="J133" s="4">
        <v>15000</v>
      </c>
      <c r="K133" s="5">
        <v>0</v>
      </c>
      <c r="L133" s="4">
        <v>90000</v>
      </c>
      <c r="M133" s="3" t="s">
        <v>43</v>
      </c>
      <c r="N133" s="3" t="s">
        <v>21</v>
      </c>
      <c r="O133" s="2"/>
      <c r="P133" s="2" t="str">
        <f t="shared" si="7"/>
        <v>Low Sale</v>
      </c>
      <c r="Q133" s="2"/>
      <c r="R133" t="str">
        <f t="shared" si="6"/>
        <v>Good</v>
      </c>
      <c r="S133">
        <f>ROWS(Table1[Order ID])</f>
        <v>150</v>
      </c>
    </row>
    <row r="134" spans="1:19" x14ac:dyDescent="0.3">
      <c r="A134" s="3">
        <v>1133</v>
      </c>
      <c r="B134" s="7">
        <v>46016</v>
      </c>
      <c r="C134" s="3" t="s">
        <v>24</v>
      </c>
      <c r="D134" s="3" t="s">
        <v>25</v>
      </c>
      <c r="E134" s="3" t="s">
        <v>26</v>
      </c>
      <c r="F134" s="3" t="s">
        <v>27</v>
      </c>
      <c r="G134" s="3" t="s">
        <v>37</v>
      </c>
      <c r="H134" s="3" t="s">
        <v>67</v>
      </c>
      <c r="I134" s="3">
        <v>2</v>
      </c>
      <c r="J134" s="4">
        <v>2500</v>
      </c>
      <c r="K134" s="5">
        <v>0.1</v>
      </c>
      <c r="L134" s="4">
        <v>4500</v>
      </c>
      <c r="M134" s="3" t="s">
        <v>20</v>
      </c>
      <c r="N134" s="3" t="s">
        <v>36</v>
      </c>
      <c r="O134" s="2"/>
      <c r="P134" s="2" t="str">
        <f t="shared" si="7"/>
        <v>Low Sale</v>
      </c>
      <c r="Q134" s="2"/>
      <c r="R134" t="str">
        <f t="shared" si="6"/>
        <v>Average</v>
      </c>
      <c r="S134">
        <f>ROWS(Table1[Order ID])</f>
        <v>150</v>
      </c>
    </row>
    <row r="135" spans="1:19" x14ac:dyDescent="0.3">
      <c r="A135" s="3">
        <v>1134</v>
      </c>
      <c r="B135" s="7">
        <v>45910</v>
      </c>
      <c r="C135" s="3" t="s">
        <v>47</v>
      </c>
      <c r="D135" s="3" t="s">
        <v>48</v>
      </c>
      <c r="E135" s="3" t="s">
        <v>16</v>
      </c>
      <c r="F135" s="3" t="s">
        <v>22</v>
      </c>
      <c r="G135" s="3" t="s">
        <v>28</v>
      </c>
      <c r="H135" s="3" t="s">
        <v>23</v>
      </c>
      <c r="I135" s="3">
        <v>1</v>
      </c>
      <c r="J135" s="4">
        <v>55000</v>
      </c>
      <c r="K135" s="5">
        <v>0.05</v>
      </c>
      <c r="L135" s="4">
        <v>52250</v>
      </c>
      <c r="M135" s="3" t="s">
        <v>30</v>
      </c>
      <c r="N135" s="3" t="s">
        <v>31</v>
      </c>
      <c r="O135" s="2"/>
      <c r="P135" s="2" t="str">
        <f t="shared" si="7"/>
        <v>Low Sale</v>
      </c>
      <c r="Q135" s="2"/>
      <c r="R135" t="str">
        <f t="shared" si="6"/>
        <v>Good</v>
      </c>
      <c r="S135">
        <f>ROWS(Table1[Order ID])</f>
        <v>150</v>
      </c>
    </row>
    <row r="136" spans="1:19" x14ac:dyDescent="0.3">
      <c r="A136" s="3">
        <v>1135</v>
      </c>
      <c r="B136" s="7">
        <v>45872</v>
      </c>
      <c r="C136" s="3" t="s">
        <v>53</v>
      </c>
      <c r="D136" s="3" t="s">
        <v>54</v>
      </c>
      <c r="E136" s="3" t="s">
        <v>55</v>
      </c>
      <c r="F136" s="3" t="s">
        <v>17</v>
      </c>
      <c r="G136" s="3" t="s">
        <v>58</v>
      </c>
      <c r="H136" s="3" t="s">
        <v>77</v>
      </c>
      <c r="I136" s="3">
        <v>6</v>
      </c>
      <c r="J136" s="4">
        <v>12000</v>
      </c>
      <c r="K136" s="5">
        <v>0.15</v>
      </c>
      <c r="L136" s="4">
        <v>61200</v>
      </c>
      <c r="M136" s="3" t="s">
        <v>20</v>
      </c>
      <c r="N136" s="3" t="s">
        <v>31</v>
      </c>
      <c r="O136" s="2"/>
      <c r="P136" s="2" t="str">
        <f t="shared" si="7"/>
        <v>Low Sale</v>
      </c>
      <c r="Q136" s="2"/>
      <c r="R136" t="str">
        <f t="shared" si="6"/>
        <v>Good</v>
      </c>
      <c r="S136">
        <f>ROWS(Table1[Order ID])</f>
        <v>150</v>
      </c>
    </row>
    <row r="137" spans="1:19" x14ac:dyDescent="0.3">
      <c r="A137" s="3">
        <v>1136</v>
      </c>
      <c r="B137" s="7">
        <v>45674</v>
      </c>
      <c r="C137" s="3" t="s">
        <v>70</v>
      </c>
      <c r="D137" s="3" t="s">
        <v>71</v>
      </c>
      <c r="E137" s="3" t="s">
        <v>52</v>
      </c>
      <c r="F137" s="3" t="s">
        <v>27</v>
      </c>
      <c r="G137" s="3" t="s">
        <v>18</v>
      </c>
      <c r="H137" s="3" t="s">
        <v>38</v>
      </c>
      <c r="I137" s="3">
        <v>7</v>
      </c>
      <c r="J137" s="4">
        <v>11000</v>
      </c>
      <c r="K137" s="5">
        <v>0.05</v>
      </c>
      <c r="L137" s="4">
        <v>73150</v>
      </c>
      <c r="M137" s="3" t="s">
        <v>35</v>
      </c>
      <c r="N137" s="3" t="s">
        <v>36</v>
      </c>
      <c r="O137" s="2"/>
      <c r="P137" s="2" t="str">
        <f t="shared" si="7"/>
        <v>Low Sale</v>
      </c>
      <c r="Q137" s="2"/>
      <c r="R137" t="str">
        <f t="shared" si="6"/>
        <v>Good</v>
      </c>
      <c r="S137">
        <f>ROWS(Table1[Order ID])</f>
        <v>150</v>
      </c>
    </row>
    <row r="138" spans="1:19" x14ac:dyDescent="0.3">
      <c r="A138" s="3">
        <v>1137</v>
      </c>
      <c r="B138" s="7">
        <v>45936</v>
      </c>
      <c r="C138" s="3" t="s">
        <v>32</v>
      </c>
      <c r="D138" s="3" t="s">
        <v>33</v>
      </c>
      <c r="E138" s="3" t="s">
        <v>26</v>
      </c>
      <c r="F138" s="3" t="s">
        <v>27</v>
      </c>
      <c r="G138" s="3" t="s">
        <v>28</v>
      </c>
      <c r="H138" s="3" t="s">
        <v>86</v>
      </c>
      <c r="I138" s="3">
        <v>2</v>
      </c>
      <c r="J138" s="4">
        <v>800</v>
      </c>
      <c r="K138" s="5">
        <v>0.05</v>
      </c>
      <c r="L138" s="4">
        <v>1520</v>
      </c>
      <c r="M138" s="3" t="s">
        <v>43</v>
      </c>
      <c r="N138" s="3" t="s">
        <v>36</v>
      </c>
      <c r="O138" s="2"/>
      <c r="P138" s="2" t="str">
        <f t="shared" si="7"/>
        <v>Low Sale</v>
      </c>
      <c r="Q138" s="2"/>
      <c r="R138" t="str">
        <f t="shared" si="6"/>
        <v>Average</v>
      </c>
      <c r="S138">
        <f>ROWS(Table1[Order ID])</f>
        <v>150</v>
      </c>
    </row>
    <row r="139" spans="1:19" x14ac:dyDescent="0.3">
      <c r="A139" s="3">
        <v>1138</v>
      </c>
      <c r="B139" s="7">
        <v>45997</v>
      </c>
      <c r="C139" s="3" t="s">
        <v>14</v>
      </c>
      <c r="D139" s="3" t="s">
        <v>15</v>
      </c>
      <c r="E139" s="3" t="s">
        <v>16</v>
      </c>
      <c r="F139" s="3" t="s">
        <v>17</v>
      </c>
      <c r="G139" s="3" t="s">
        <v>37</v>
      </c>
      <c r="H139" s="3" t="s">
        <v>77</v>
      </c>
      <c r="I139" s="3">
        <v>8</v>
      </c>
      <c r="J139" s="4">
        <v>28000</v>
      </c>
      <c r="K139" s="5">
        <v>0</v>
      </c>
      <c r="L139" s="4">
        <v>224000</v>
      </c>
      <c r="M139" s="3" t="s">
        <v>20</v>
      </c>
      <c r="N139" s="3" t="s">
        <v>36</v>
      </c>
      <c r="O139" s="2"/>
      <c r="P139" s="2" t="str">
        <f t="shared" si="7"/>
        <v>High Sale</v>
      </c>
      <c r="Q139" s="2"/>
      <c r="R139" t="str">
        <f t="shared" si="6"/>
        <v>Excellent</v>
      </c>
      <c r="S139">
        <f>ROWS(Table1[Order ID])</f>
        <v>150</v>
      </c>
    </row>
    <row r="140" spans="1:19" x14ac:dyDescent="0.3">
      <c r="A140" s="3">
        <v>1139</v>
      </c>
      <c r="B140" s="7">
        <v>45947</v>
      </c>
      <c r="C140" s="3" t="s">
        <v>32</v>
      </c>
      <c r="D140" s="3" t="s">
        <v>33</v>
      </c>
      <c r="E140" s="3" t="s">
        <v>26</v>
      </c>
      <c r="F140" s="3" t="s">
        <v>17</v>
      </c>
      <c r="G140" s="3" t="s">
        <v>28</v>
      </c>
      <c r="H140" s="3" t="s">
        <v>73</v>
      </c>
      <c r="I140" s="3">
        <v>4</v>
      </c>
      <c r="J140" s="4">
        <v>800</v>
      </c>
      <c r="K140" s="5">
        <v>0</v>
      </c>
      <c r="L140" s="4">
        <v>3200</v>
      </c>
      <c r="M140" s="3" t="s">
        <v>30</v>
      </c>
      <c r="N140" s="3" t="s">
        <v>21</v>
      </c>
      <c r="O140" s="2"/>
      <c r="P140" s="2" t="str">
        <f t="shared" si="7"/>
        <v>Low Sale</v>
      </c>
      <c r="Q140" s="2"/>
      <c r="R140" t="str">
        <f t="shared" si="6"/>
        <v>Average</v>
      </c>
      <c r="S140">
        <f>ROWS(Table1[Order ID])</f>
        <v>150</v>
      </c>
    </row>
    <row r="141" spans="1:19" x14ac:dyDescent="0.3">
      <c r="A141" s="3">
        <v>1140</v>
      </c>
      <c r="B141" s="7">
        <v>45733</v>
      </c>
      <c r="C141" s="3" t="s">
        <v>24</v>
      </c>
      <c r="D141" s="3" t="s">
        <v>25</v>
      </c>
      <c r="E141" s="3" t="s">
        <v>26</v>
      </c>
      <c r="F141" s="3" t="s">
        <v>22</v>
      </c>
      <c r="G141" s="3" t="s">
        <v>42</v>
      </c>
      <c r="H141" s="3" t="s">
        <v>76</v>
      </c>
      <c r="I141" s="3">
        <v>4</v>
      </c>
      <c r="J141" s="4">
        <v>2500</v>
      </c>
      <c r="K141" s="5">
        <v>0.05</v>
      </c>
      <c r="L141" s="4">
        <v>9500</v>
      </c>
      <c r="M141" s="3" t="s">
        <v>30</v>
      </c>
      <c r="N141" s="3" t="s">
        <v>36</v>
      </c>
      <c r="O141" s="2"/>
      <c r="P141" s="2" t="str">
        <f t="shared" si="7"/>
        <v>Low Sale</v>
      </c>
      <c r="Q141" s="2"/>
      <c r="R141" t="str">
        <f t="shared" si="6"/>
        <v>Average</v>
      </c>
      <c r="S141">
        <f>ROWS(Table1[Order ID])</f>
        <v>150</v>
      </c>
    </row>
    <row r="142" spans="1:19" x14ac:dyDescent="0.3">
      <c r="A142" s="3">
        <v>1141</v>
      </c>
      <c r="B142" s="7">
        <v>45714</v>
      </c>
      <c r="C142" s="3" t="s">
        <v>50</v>
      </c>
      <c r="D142" s="3" t="s">
        <v>51</v>
      </c>
      <c r="E142" s="3" t="s">
        <v>52</v>
      </c>
      <c r="F142" s="3" t="s">
        <v>22</v>
      </c>
      <c r="G142" s="3" t="s">
        <v>18</v>
      </c>
      <c r="H142" s="3" t="s">
        <v>81</v>
      </c>
      <c r="I142" s="3">
        <v>5</v>
      </c>
      <c r="J142" s="4">
        <v>8500</v>
      </c>
      <c r="K142" s="5">
        <v>0</v>
      </c>
      <c r="L142" s="4">
        <v>42500</v>
      </c>
      <c r="M142" s="3" t="s">
        <v>43</v>
      </c>
      <c r="N142" s="3" t="s">
        <v>36</v>
      </c>
      <c r="O142" s="2"/>
      <c r="P142" s="2" t="str">
        <f t="shared" si="7"/>
        <v>Low Sale</v>
      </c>
      <c r="Q142" s="2"/>
      <c r="R142" t="str">
        <f t="shared" si="6"/>
        <v>Average</v>
      </c>
      <c r="S142">
        <f>ROWS(Table1[Order ID])</f>
        <v>150</v>
      </c>
    </row>
    <row r="143" spans="1:19" x14ac:dyDescent="0.3">
      <c r="A143" s="3">
        <v>1142</v>
      </c>
      <c r="B143" s="7">
        <v>45747</v>
      </c>
      <c r="C143" s="3" t="s">
        <v>70</v>
      </c>
      <c r="D143" s="3" t="s">
        <v>71</v>
      </c>
      <c r="E143" s="3" t="s">
        <v>52</v>
      </c>
      <c r="F143" s="3" t="s">
        <v>27</v>
      </c>
      <c r="G143" s="3" t="s">
        <v>28</v>
      </c>
      <c r="H143" s="3" t="s">
        <v>85</v>
      </c>
      <c r="I143" s="3">
        <v>6</v>
      </c>
      <c r="J143" s="4">
        <v>11000</v>
      </c>
      <c r="K143" s="5">
        <v>0</v>
      </c>
      <c r="L143" s="4">
        <v>66000</v>
      </c>
      <c r="M143" s="3" t="s">
        <v>35</v>
      </c>
      <c r="N143" s="3" t="s">
        <v>21</v>
      </c>
      <c r="O143" s="2"/>
      <c r="P143" s="2" t="str">
        <f t="shared" si="7"/>
        <v>Low Sale</v>
      </c>
      <c r="Q143" s="2"/>
      <c r="R143" t="str">
        <f t="shared" si="6"/>
        <v>Good</v>
      </c>
      <c r="S143">
        <f>ROWS(Table1[Order ID])</f>
        <v>150</v>
      </c>
    </row>
    <row r="144" spans="1:19" x14ac:dyDescent="0.3">
      <c r="A144" s="3">
        <v>1143</v>
      </c>
      <c r="B144" s="7">
        <v>45887</v>
      </c>
      <c r="C144" s="3" t="s">
        <v>14</v>
      </c>
      <c r="D144" s="3" t="s">
        <v>15</v>
      </c>
      <c r="E144" s="3" t="s">
        <v>16</v>
      </c>
      <c r="F144" s="3" t="s">
        <v>27</v>
      </c>
      <c r="G144" s="3" t="s">
        <v>57</v>
      </c>
      <c r="H144" s="3" t="s">
        <v>83</v>
      </c>
      <c r="I144" s="3">
        <v>2</v>
      </c>
      <c r="J144" s="4">
        <v>28000</v>
      </c>
      <c r="K144" s="5">
        <v>0.1</v>
      </c>
      <c r="L144" s="4">
        <v>50400</v>
      </c>
      <c r="M144" s="3" t="s">
        <v>20</v>
      </c>
      <c r="N144" s="3" t="s">
        <v>31</v>
      </c>
      <c r="O144" s="2"/>
      <c r="P144" s="2" t="str">
        <f t="shared" si="7"/>
        <v>Low Sale</v>
      </c>
      <c r="Q144" s="2"/>
      <c r="R144" t="str">
        <f t="shared" si="6"/>
        <v>Good</v>
      </c>
      <c r="S144">
        <f>ROWS(Table1[Order ID])</f>
        <v>150</v>
      </c>
    </row>
    <row r="145" spans="1:19" x14ac:dyDescent="0.3">
      <c r="A145" s="3">
        <v>1144</v>
      </c>
      <c r="B145" s="7">
        <v>45680</v>
      </c>
      <c r="C145" s="3" t="s">
        <v>50</v>
      </c>
      <c r="D145" s="3" t="s">
        <v>51</v>
      </c>
      <c r="E145" s="3" t="s">
        <v>52</v>
      </c>
      <c r="F145" s="3" t="s">
        <v>27</v>
      </c>
      <c r="G145" s="3" t="s">
        <v>58</v>
      </c>
      <c r="H145" s="3" t="s">
        <v>77</v>
      </c>
      <c r="I145" s="3">
        <v>4</v>
      </c>
      <c r="J145" s="4">
        <v>8500</v>
      </c>
      <c r="K145" s="5">
        <v>0.15</v>
      </c>
      <c r="L145" s="4">
        <v>28900</v>
      </c>
      <c r="M145" s="3" t="s">
        <v>20</v>
      </c>
      <c r="N145" s="3" t="s">
        <v>36</v>
      </c>
      <c r="O145" s="2"/>
      <c r="P145" s="2" t="str">
        <f t="shared" si="7"/>
        <v>Low Sale</v>
      </c>
      <c r="Q145" s="2"/>
      <c r="R145" t="str">
        <f t="shared" si="6"/>
        <v>Average</v>
      </c>
      <c r="S145">
        <f>ROWS(Table1[Order ID])</f>
        <v>150</v>
      </c>
    </row>
    <row r="146" spans="1:19" x14ac:dyDescent="0.3">
      <c r="A146" s="3">
        <v>1145</v>
      </c>
      <c r="B146" s="7">
        <v>46009</v>
      </c>
      <c r="C146" s="3" t="s">
        <v>53</v>
      </c>
      <c r="D146" s="3" t="s">
        <v>54</v>
      </c>
      <c r="E146" s="3" t="s">
        <v>55</v>
      </c>
      <c r="F146" s="3" t="s">
        <v>22</v>
      </c>
      <c r="G146" s="3" t="s">
        <v>58</v>
      </c>
      <c r="H146" s="3" t="s">
        <v>64</v>
      </c>
      <c r="I146" s="3">
        <v>7</v>
      </c>
      <c r="J146" s="4">
        <v>12000</v>
      </c>
      <c r="K146" s="5">
        <v>0.1</v>
      </c>
      <c r="L146" s="4">
        <v>75600</v>
      </c>
      <c r="M146" s="3" t="s">
        <v>35</v>
      </c>
      <c r="N146" s="3" t="s">
        <v>36</v>
      </c>
      <c r="O146" s="2"/>
      <c r="P146" s="2" t="str">
        <f t="shared" si="7"/>
        <v>Low Sale</v>
      </c>
      <c r="Q146" s="2"/>
      <c r="R146" t="str">
        <f t="shared" si="6"/>
        <v>Good</v>
      </c>
      <c r="S146">
        <f>ROWS(Table1[Order ID])</f>
        <v>150</v>
      </c>
    </row>
    <row r="147" spans="1:19" x14ac:dyDescent="0.3">
      <c r="A147" s="3">
        <v>1146</v>
      </c>
      <c r="B147" s="7">
        <v>45733</v>
      </c>
      <c r="C147" s="3" t="s">
        <v>14</v>
      </c>
      <c r="D147" s="3" t="s">
        <v>15</v>
      </c>
      <c r="E147" s="3" t="s">
        <v>16</v>
      </c>
      <c r="F147" s="3" t="s">
        <v>22</v>
      </c>
      <c r="G147" s="3" t="s">
        <v>18</v>
      </c>
      <c r="H147" s="3" t="s">
        <v>49</v>
      </c>
      <c r="I147" s="3">
        <v>6</v>
      </c>
      <c r="J147" s="4">
        <v>28000</v>
      </c>
      <c r="K147" s="5">
        <v>0.15</v>
      </c>
      <c r="L147" s="4">
        <v>142800</v>
      </c>
      <c r="M147" s="3" t="s">
        <v>43</v>
      </c>
      <c r="N147" s="3" t="s">
        <v>31</v>
      </c>
      <c r="O147" s="2"/>
      <c r="P147" s="2" t="str">
        <f t="shared" si="7"/>
        <v>High Sale</v>
      </c>
      <c r="Q147" s="2"/>
      <c r="R147" t="str">
        <f t="shared" si="6"/>
        <v>Excellent</v>
      </c>
      <c r="S147">
        <f>ROWS(Table1[Order ID])</f>
        <v>150</v>
      </c>
    </row>
    <row r="148" spans="1:19" x14ac:dyDescent="0.3">
      <c r="A148" s="3">
        <v>1147</v>
      </c>
      <c r="B148" s="7">
        <v>45916</v>
      </c>
      <c r="C148" s="3" t="s">
        <v>70</v>
      </c>
      <c r="D148" s="3" t="s">
        <v>71</v>
      </c>
      <c r="E148" s="3" t="s">
        <v>52</v>
      </c>
      <c r="F148" s="3" t="s">
        <v>41</v>
      </c>
      <c r="G148" s="3" t="s">
        <v>28</v>
      </c>
      <c r="H148" s="3" t="s">
        <v>66</v>
      </c>
      <c r="I148" s="3">
        <v>5</v>
      </c>
      <c r="J148" s="4">
        <v>11000</v>
      </c>
      <c r="K148" s="5">
        <v>0.1</v>
      </c>
      <c r="L148" s="4">
        <v>49500</v>
      </c>
      <c r="M148" s="3" t="s">
        <v>20</v>
      </c>
      <c r="N148" s="3" t="s">
        <v>21</v>
      </c>
      <c r="O148" s="2"/>
      <c r="P148" s="2" t="str">
        <f t="shared" si="7"/>
        <v>Low Sale</v>
      </c>
      <c r="Q148" s="2"/>
      <c r="R148" t="str">
        <f t="shared" si="6"/>
        <v>Average</v>
      </c>
      <c r="S148">
        <f>ROWS(Table1[Order ID])</f>
        <v>150</v>
      </c>
    </row>
    <row r="149" spans="1:19" x14ac:dyDescent="0.3">
      <c r="A149" s="3">
        <v>1148</v>
      </c>
      <c r="B149" s="7">
        <v>45774</v>
      </c>
      <c r="C149" s="3" t="s">
        <v>24</v>
      </c>
      <c r="D149" s="3" t="s">
        <v>25</v>
      </c>
      <c r="E149" s="3" t="s">
        <v>26</v>
      </c>
      <c r="F149" s="3" t="s">
        <v>41</v>
      </c>
      <c r="G149" s="3" t="s">
        <v>42</v>
      </c>
      <c r="H149" s="3" t="s">
        <v>73</v>
      </c>
      <c r="I149" s="3">
        <v>7</v>
      </c>
      <c r="J149" s="4">
        <v>2500</v>
      </c>
      <c r="K149" s="5">
        <v>0.1</v>
      </c>
      <c r="L149" s="4">
        <v>15750</v>
      </c>
      <c r="M149" s="3" t="s">
        <v>35</v>
      </c>
      <c r="N149" s="3" t="s">
        <v>31</v>
      </c>
      <c r="O149" s="2"/>
      <c r="P149" s="2" t="str">
        <f t="shared" si="7"/>
        <v>Low Sale</v>
      </c>
      <c r="Q149" s="2"/>
      <c r="R149" t="str">
        <f t="shared" si="6"/>
        <v>Average</v>
      </c>
      <c r="S149">
        <f>ROWS(Table1[Order ID])</f>
        <v>150</v>
      </c>
    </row>
    <row r="150" spans="1:19" x14ac:dyDescent="0.3">
      <c r="A150" s="3">
        <v>1149</v>
      </c>
      <c r="B150" s="7">
        <v>45876</v>
      </c>
      <c r="C150" s="3" t="s">
        <v>68</v>
      </c>
      <c r="D150" s="3" t="s">
        <v>69</v>
      </c>
      <c r="E150" s="3" t="s">
        <v>16</v>
      </c>
      <c r="F150" s="3" t="s">
        <v>27</v>
      </c>
      <c r="G150" s="3" t="s">
        <v>37</v>
      </c>
      <c r="H150" s="3" t="s">
        <v>49</v>
      </c>
      <c r="I150" s="3">
        <v>2</v>
      </c>
      <c r="J150" s="4">
        <v>15000</v>
      </c>
      <c r="K150" s="5">
        <v>0.05</v>
      </c>
      <c r="L150" s="4">
        <v>28500</v>
      </c>
      <c r="M150" s="3" t="s">
        <v>43</v>
      </c>
      <c r="N150" s="3" t="s">
        <v>36</v>
      </c>
      <c r="O150" s="2"/>
      <c r="P150" s="2" t="str">
        <f t="shared" si="7"/>
        <v>Low Sale</v>
      </c>
      <c r="Q150" s="2"/>
      <c r="R150" t="str">
        <f t="shared" si="6"/>
        <v>Average</v>
      </c>
      <c r="S150">
        <f>ROWS(Table1[Order ID])</f>
        <v>150</v>
      </c>
    </row>
    <row r="151" spans="1:19" x14ac:dyDescent="0.3">
      <c r="A151" s="3">
        <v>1150</v>
      </c>
      <c r="B151" s="7">
        <v>45701</v>
      </c>
      <c r="C151" s="3" t="s">
        <v>53</v>
      </c>
      <c r="D151" s="3" t="s">
        <v>54</v>
      </c>
      <c r="E151" s="3" t="s">
        <v>55</v>
      </c>
      <c r="F151" s="3" t="s">
        <v>22</v>
      </c>
      <c r="G151" s="3" t="s">
        <v>58</v>
      </c>
      <c r="H151" s="3" t="s">
        <v>84</v>
      </c>
      <c r="I151" s="3">
        <v>2</v>
      </c>
      <c r="J151" s="4">
        <v>12000</v>
      </c>
      <c r="K151" s="5">
        <v>0</v>
      </c>
      <c r="L151" s="4">
        <v>24000</v>
      </c>
      <c r="M151" s="3" t="s">
        <v>43</v>
      </c>
      <c r="N151" s="3" t="s">
        <v>36</v>
      </c>
      <c r="O151" s="2"/>
      <c r="P151" s="2" t="str">
        <f t="shared" si="7"/>
        <v>Low Sale</v>
      </c>
      <c r="Q151" s="2"/>
      <c r="R151" t="str">
        <f t="shared" si="6"/>
        <v>Average</v>
      </c>
      <c r="S151">
        <f>ROWS(Table1[Order ID])</f>
        <v>150</v>
      </c>
    </row>
  </sheetData>
  <conditionalFormatting sqref="L1:L151">
    <cfRule type="cellIs" dxfId="17" priority="1" operator="greaterThan">
      <formula>100000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24D1-1EE6-4397-848F-7CFF4E6E1FA3}">
  <dimension ref="A20:O21"/>
  <sheetViews>
    <sheetView topLeftCell="A20" zoomScale="74" workbookViewId="0">
      <selection activeCell="I58" sqref="I58"/>
    </sheetView>
  </sheetViews>
  <sheetFormatPr defaultRowHeight="14.4" x14ac:dyDescent="0.3"/>
  <sheetData>
    <row r="20" spans="1:15" x14ac:dyDescent="0.3">
      <c r="A20" s="19" t="s">
        <v>110</v>
      </c>
      <c r="B20" s="20"/>
      <c r="C20" s="20"/>
      <c r="D20" s="20"/>
      <c r="E20" s="20"/>
      <c r="F20" s="20"/>
      <c r="G20" s="20"/>
      <c r="H20" s="20"/>
      <c r="I20" s="20"/>
      <c r="J20" s="20"/>
      <c r="K20" s="20"/>
      <c r="L20" s="20"/>
      <c r="M20" s="20"/>
      <c r="N20" s="20"/>
      <c r="O20" s="20"/>
    </row>
    <row r="21" spans="1:15" x14ac:dyDescent="0.3">
      <c r="A21" s="20"/>
      <c r="B21" s="20"/>
      <c r="C21" s="20"/>
      <c r="D21" s="20"/>
      <c r="E21" s="20"/>
      <c r="F21" s="20"/>
      <c r="G21" s="20"/>
      <c r="H21" s="20"/>
      <c r="I21" s="20"/>
      <c r="J21" s="20"/>
      <c r="K21" s="20"/>
      <c r="L21" s="20"/>
      <c r="M21" s="20"/>
      <c r="N21" s="20"/>
      <c r="O21" s="20"/>
    </row>
  </sheetData>
  <mergeCells count="1">
    <mergeCell ref="A20:O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1A56-BE18-4342-8C88-776B37DFB85E}">
  <dimension ref="A3:F25"/>
  <sheetViews>
    <sheetView workbookViewId="0">
      <selection activeCell="J8" sqref="J8"/>
    </sheetView>
  </sheetViews>
  <sheetFormatPr defaultRowHeight="14.4" x14ac:dyDescent="0.3"/>
  <cols>
    <col min="1" max="1" width="12.5546875" bestFit="1" customWidth="1"/>
    <col min="2" max="2" width="19.21875" bestFit="1" customWidth="1"/>
    <col min="6" max="6" width="14.88671875" customWidth="1"/>
    <col min="12" max="12" width="12.5546875" bestFit="1" customWidth="1"/>
    <col min="13" max="13" width="14.5546875" bestFit="1" customWidth="1"/>
    <col min="14" max="14" width="15.6640625" bestFit="1" customWidth="1"/>
  </cols>
  <sheetData>
    <row r="3" spans="1:6" x14ac:dyDescent="0.3">
      <c r="A3" s="8" t="s">
        <v>87</v>
      </c>
      <c r="B3" t="s">
        <v>89</v>
      </c>
      <c r="D3" s="8" t="s">
        <v>87</v>
      </c>
      <c r="E3" s="8" t="s">
        <v>106</v>
      </c>
      <c r="F3" s="14" t="s">
        <v>107</v>
      </c>
    </row>
    <row r="4" spans="1:6" x14ac:dyDescent="0.3">
      <c r="A4" s="9" t="s">
        <v>26</v>
      </c>
      <c r="B4" s="10">
        <v>293335</v>
      </c>
      <c r="D4" s="9" t="s">
        <v>94</v>
      </c>
      <c r="E4" s="10">
        <v>14028</v>
      </c>
      <c r="F4" s="10">
        <v>228200</v>
      </c>
    </row>
    <row r="5" spans="1:6" x14ac:dyDescent="0.3">
      <c r="A5" s="11" t="s">
        <v>27</v>
      </c>
      <c r="B5" s="10">
        <v>89195</v>
      </c>
      <c r="D5" s="9" t="s">
        <v>95</v>
      </c>
      <c r="E5" s="10">
        <v>13840</v>
      </c>
      <c r="F5" s="10">
        <v>138100</v>
      </c>
    </row>
    <row r="6" spans="1:6" x14ac:dyDescent="0.3">
      <c r="A6" s="11" t="s">
        <v>22</v>
      </c>
      <c r="B6" s="10">
        <v>48180</v>
      </c>
      <c r="D6" s="9" t="s">
        <v>96</v>
      </c>
      <c r="E6" s="10">
        <v>7736</v>
      </c>
      <c r="F6" s="10">
        <v>125500</v>
      </c>
    </row>
    <row r="7" spans="1:6" x14ac:dyDescent="0.3">
      <c r="A7" s="11" t="s">
        <v>17</v>
      </c>
      <c r="B7" s="10">
        <v>93230</v>
      </c>
      <c r="D7" s="9" t="s">
        <v>97</v>
      </c>
      <c r="E7" s="10">
        <v>10756</v>
      </c>
      <c r="F7" s="10">
        <v>140100</v>
      </c>
    </row>
    <row r="8" spans="1:6" x14ac:dyDescent="0.3">
      <c r="A8" s="11" t="s">
        <v>41</v>
      </c>
      <c r="B8" s="10">
        <v>62730</v>
      </c>
      <c r="D8" s="9" t="s">
        <v>98</v>
      </c>
      <c r="E8" s="10">
        <v>19172</v>
      </c>
      <c r="F8" s="10">
        <v>305100</v>
      </c>
    </row>
    <row r="9" spans="1:6" x14ac:dyDescent="0.3">
      <c r="A9" s="9" t="s">
        <v>16</v>
      </c>
      <c r="B9" s="10">
        <v>8196300</v>
      </c>
      <c r="D9" s="9" t="s">
        <v>99</v>
      </c>
      <c r="E9" s="10">
        <v>10691</v>
      </c>
      <c r="F9" s="10">
        <v>279300</v>
      </c>
    </row>
    <row r="10" spans="1:6" x14ac:dyDescent="0.3">
      <c r="A10" s="11" t="s">
        <v>27</v>
      </c>
      <c r="B10" s="10">
        <v>2580200</v>
      </c>
      <c r="D10" s="9" t="s">
        <v>100</v>
      </c>
      <c r="E10" s="10">
        <v>11685</v>
      </c>
      <c r="F10" s="10">
        <v>181300</v>
      </c>
    </row>
    <row r="11" spans="1:6" x14ac:dyDescent="0.3">
      <c r="A11" s="11" t="s">
        <v>22</v>
      </c>
      <c r="B11" s="10">
        <v>1324900</v>
      </c>
      <c r="D11" s="9" t="s">
        <v>101</v>
      </c>
      <c r="E11" s="10">
        <v>17242</v>
      </c>
      <c r="F11" s="10">
        <v>232700</v>
      </c>
    </row>
    <row r="12" spans="1:6" x14ac:dyDescent="0.3">
      <c r="A12" s="11" t="s">
        <v>17</v>
      </c>
      <c r="B12" s="10">
        <v>2205850</v>
      </c>
      <c r="D12" s="9" t="s">
        <v>102</v>
      </c>
      <c r="E12" s="10">
        <v>6505</v>
      </c>
      <c r="F12" s="10">
        <v>133600</v>
      </c>
    </row>
    <row r="13" spans="1:6" x14ac:dyDescent="0.3">
      <c r="A13" s="11" t="s">
        <v>41</v>
      </c>
      <c r="B13" s="10">
        <v>2085350</v>
      </c>
      <c r="D13" s="9" t="s">
        <v>103</v>
      </c>
      <c r="E13" s="10">
        <v>17353</v>
      </c>
      <c r="F13" s="10">
        <v>258500</v>
      </c>
    </row>
    <row r="14" spans="1:6" x14ac:dyDescent="0.3">
      <c r="A14" s="9" t="s">
        <v>52</v>
      </c>
      <c r="B14" s="10">
        <v>1361550</v>
      </c>
      <c r="D14" s="9" t="s">
        <v>104</v>
      </c>
      <c r="E14" s="10">
        <v>13865</v>
      </c>
      <c r="F14" s="10">
        <v>230800</v>
      </c>
    </row>
    <row r="15" spans="1:6" x14ac:dyDescent="0.3">
      <c r="A15" s="11" t="s">
        <v>27</v>
      </c>
      <c r="B15" s="10">
        <v>252425</v>
      </c>
      <c r="D15" s="9" t="s">
        <v>105</v>
      </c>
      <c r="E15" s="10">
        <v>18452</v>
      </c>
      <c r="F15" s="10">
        <v>214900</v>
      </c>
    </row>
    <row r="16" spans="1:6" x14ac:dyDescent="0.3">
      <c r="A16" s="11" t="s">
        <v>22</v>
      </c>
      <c r="B16" s="10">
        <v>244625</v>
      </c>
      <c r="D16" s="9" t="s">
        <v>88</v>
      </c>
      <c r="E16" s="10">
        <v>161325</v>
      </c>
      <c r="F16" s="10">
        <v>2468100</v>
      </c>
    </row>
    <row r="17" spans="1:2" x14ac:dyDescent="0.3">
      <c r="A17" s="11" t="s">
        <v>17</v>
      </c>
      <c r="B17" s="10">
        <v>370050</v>
      </c>
    </row>
    <row r="18" spans="1:2" x14ac:dyDescent="0.3">
      <c r="A18" s="11" t="s">
        <v>79</v>
      </c>
      <c r="B18" s="10">
        <v>19800</v>
      </c>
    </row>
    <row r="19" spans="1:2" x14ac:dyDescent="0.3">
      <c r="A19" s="11" t="s">
        <v>41</v>
      </c>
      <c r="B19" s="10">
        <v>474650</v>
      </c>
    </row>
    <row r="20" spans="1:2" x14ac:dyDescent="0.3">
      <c r="A20" s="9" t="s">
        <v>55</v>
      </c>
      <c r="B20" s="10">
        <v>616800</v>
      </c>
    </row>
    <row r="21" spans="1:2" x14ac:dyDescent="0.3">
      <c r="A21" s="11" t="s">
        <v>27</v>
      </c>
      <c r="B21" s="10">
        <v>82800</v>
      </c>
    </row>
    <row r="22" spans="1:2" x14ac:dyDescent="0.3">
      <c r="A22" s="11" t="s">
        <v>22</v>
      </c>
      <c r="B22" s="10">
        <v>123600</v>
      </c>
    </row>
    <row r="23" spans="1:2" x14ac:dyDescent="0.3">
      <c r="A23" s="11" t="s">
        <v>17</v>
      </c>
      <c r="B23" s="10">
        <v>282600</v>
      </c>
    </row>
    <row r="24" spans="1:2" x14ac:dyDescent="0.3">
      <c r="A24" s="11" t="s">
        <v>41</v>
      </c>
      <c r="B24" s="10">
        <v>127800</v>
      </c>
    </row>
    <row r="25" spans="1:2" x14ac:dyDescent="0.3">
      <c r="A25" s="9" t="s">
        <v>88</v>
      </c>
      <c r="B25" s="10">
        <v>10467985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5BC4-2D50-4533-B0BF-20733E913195}">
  <dimension ref="A1:O2"/>
  <sheetViews>
    <sheetView zoomScale="73" workbookViewId="0">
      <selection sqref="A1:O2"/>
    </sheetView>
  </sheetViews>
  <sheetFormatPr defaultRowHeight="14.4" x14ac:dyDescent="0.3"/>
  <sheetData>
    <row r="1" spans="1:15" ht="14.4" customHeight="1" x14ac:dyDescent="0.3">
      <c r="A1" s="19" t="s">
        <v>109</v>
      </c>
      <c r="B1" s="20"/>
      <c r="C1" s="20"/>
      <c r="D1" s="20"/>
      <c r="E1" s="20"/>
      <c r="F1" s="20"/>
      <c r="G1" s="20"/>
      <c r="H1" s="20"/>
      <c r="I1" s="20"/>
      <c r="J1" s="20"/>
      <c r="K1" s="20"/>
      <c r="L1" s="20"/>
      <c r="M1" s="20"/>
      <c r="N1" s="20"/>
      <c r="O1" s="20"/>
    </row>
    <row r="2" spans="1:15" x14ac:dyDescent="0.3">
      <c r="A2" s="20"/>
      <c r="B2" s="20"/>
      <c r="C2" s="20"/>
      <c r="D2" s="20"/>
      <c r="E2" s="20"/>
      <c r="F2" s="20"/>
      <c r="G2" s="20"/>
      <c r="H2" s="20"/>
      <c r="I2" s="20"/>
      <c r="J2" s="20"/>
      <c r="K2" s="20"/>
      <c r="L2" s="20"/>
      <c r="M2" s="20"/>
      <c r="N2" s="20"/>
      <c r="O2" s="20"/>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C02F-07F2-4D00-919C-84FB8C9C7CD5}">
  <dimension ref="A3:N29"/>
  <sheetViews>
    <sheetView tabSelected="1" workbookViewId="0">
      <selection activeCell="Q10" sqref="Q10"/>
    </sheetView>
  </sheetViews>
  <sheetFormatPr defaultRowHeight="14.4" x14ac:dyDescent="0.3"/>
  <cols>
    <col min="2" max="2" width="12.33203125" customWidth="1"/>
  </cols>
  <sheetData>
    <row r="3" spans="1:14" x14ac:dyDescent="0.3">
      <c r="A3" s="22"/>
      <c r="B3" s="23"/>
      <c r="C3" s="23"/>
      <c r="D3" s="22"/>
      <c r="E3" s="22"/>
      <c r="F3" s="22"/>
      <c r="G3" s="22"/>
      <c r="H3" s="22"/>
      <c r="I3" s="22"/>
      <c r="J3" s="22"/>
      <c r="K3" s="22"/>
    </row>
    <row r="4" spans="1:14" x14ac:dyDescent="0.3">
      <c r="A4" s="22"/>
      <c r="B4" s="24" t="s">
        <v>111</v>
      </c>
      <c r="C4" s="24"/>
      <c r="D4" s="24"/>
      <c r="E4" s="22"/>
      <c r="F4" s="22"/>
      <c r="G4" s="22"/>
      <c r="H4" s="22"/>
      <c r="I4" s="22"/>
      <c r="J4" s="22"/>
      <c r="K4" s="22"/>
      <c r="L4" s="22"/>
    </row>
    <row r="5" spans="1:14" x14ac:dyDescent="0.3">
      <c r="A5" s="22"/>
      <c r="B5" s="23" t="s">
        <v>112</v>
      </c>
      <c r="C5" s="23" t="s">
        <v>113</v>
      </c>
      <c r="D5" s="22"/>
      <c r="E5" s="22"/>
      <c r="F5" s="22"/>
      <c r="G5" s="22"/>
      <c r="H5" s="22"/>
      <c r="I5" s="22"/>
      <c r="J5" s="22"/>
      <c r="K5" s="22"/>
      <c r="L5" s="22"/>
    </row>
    <row r="6" spans="1:14" x14ac:dyDescent="0.3">
      <c r="A6" s="22"/>
      <c r="B6" s="23" t="s">
        <v>114</v>
      </c>
      <c r="C6" s="23" t="s">
        <v>115</v>
      </c>
      <c r="D6" s="22"/>
      <c r="E6" s="22"/>
      <c r="F6" s="22"/>
      <c r="G6" s="22"/>
      <c r="H6" s="22"/>
      <c r="I6" s="22"/>
      <c r="J6" s="22"/>
      <c r="K6" s="22"/>
      <c r="L6" s="22"/>
    </row>
    <row r="7" spans="1:14" x14ac:dyDescent="0.3">
      <c r="A7" s="22"/>
      <c r="B7" s="23" t="s">
        <v>116</v>
      </c>
      <c r="C7" s="23" t="s">
        <v>117</v>
      </c>
      <c r="D7" s="22"/>
      <c r="E7" s="22"/>
      <c r="F7" s="22"/>
      <c r="G7" s="22"/>
      <c r="H7" s="22"/>
      <c r="I7" s="22"/>
      <c r="J7" s="22"/>
      <c r="K7" s="22"/>
      <c r="L7" s="22"/>
    </row>
    <row r="8" spans="1:14" x14ac:dyDescent="0.3">
      <c r="A8" s="22"/>
      <c r="B8" s="23" t="s">
        <v>118</v>
      </c>
      <c r="C8" s="23" t="s">
        <v>119</v>
      </c>
      <c r="D8" s="22"/>
      <c r="E8" s="22"/>
      <c r="F8" s="22"/>
      <c r="G8" s="22"/>
      <c r="H8" s="22"/>
      <c r="I8" s="22"/>
      <c r="J8" s="22"/>
      <c r="K8" s="22"/>
      <c r="L8" s="22"/>
    </row>
    <row r="9" spans="1:14" x14ac:dyDescent="0.3">
      <c r="A9" s="22"/>
      <c r="B9" s="23" t="s">
        <v>120</v>
      </c>
      <c r="C9" s="23" t="s">
        <v>121</v>
      </c>
      <c r="D9" s="22"/>
      <c r="E9" s="22"/>
      <c r="F9" s="22"/>
      <c r="G9" s="22"/>
      <c r="H9" s="22"/>
      <c r="I9" s="22"/>
      <c r="J9" s="22"/>
      <c r="K9" s="22"/>
      <c r="L9" s="22"/>
      <c r="M9" s="22"/>
    </row>
    <row r="10" spans="1:14" x14ac:dyDescent="0.3">
      <c r="A10" s="22"/>
      <c r="B10" s="23" t="s">
        <v>122</v>
      </c>
      <c r="C10" s="23" t="s">
        <v>123</v>
      </c>
      <c r="D10" s="22"/>
      <c r="E10" s="22"/>
      <c r="F10" s="22"/>
      <c r="G10" s="22"/>
      <c r="H10" s="22"/>
      <c r="I10" s="22"/>
      <c r="J10" s="22"/>
      <c r="K10" s="22"/>
      <c r="L10" s="22"/>
    </row>
    <row r="11" spans="1:14" x14ac:dyDescent="0.3">
      <c r="A11" s="22"/>
      <c r="B11" s="23" t="s">
        <v>124</v>
      </c>
      <c r="C11" s="23" t="s">
        <v>125</v>
      </c>
      <c r="D11" s="22"/>
      <c r="E11" s="22"/>
      <c r="F11" s="22"/>
      <c r="G11" s="22"/>
      <c r="H11" s="22"/>
      <c r="I11" s="22"/>
      <c r="J11" s="22"/>
      <c r="K11" s="22"/>
      <c r="L11" s="22"/>
      <c r="N11" s="22"/>
    </row>
    <row r="12" spans="1:14" x14ac:dyDescent="0.3">
      <c r="A12" s="22"/>
      <c r="B12" s="23" t="s">
        <v>126</v>
      </c>
      <c r="C12" s="23" t="s">
        <v>127</v>
      </c>
      <c r="D12" s="22"/>
      <c r="E12" s="22"/>
      <c r="F12" s="22"/>
      <c r="G12" s="22"/>
      <c r="H12" s="22"/>
      <c r="I12" s="22"/>
      <c r="J12" s="22"/>
      <c r="K12" s="22"/>
      <c r="L12" s="22"/>
      <c r="M12" s="22"/>
    </row>
    <row r="13" spans="1:14" x14ac:dyDescent="0.3">
      <c r="A13" s="22"/>
      <c r="B13" s="23" t="s">
        <v>128</v>
      </c>
      <c r="C13" s="23" t="s">
        <v>16</v>
      </c>
      <c r="D13" s="22"/>
      <c r="E13" s="22"/>
      <c r="F13" s="22"/>
      <c r="G13" s="22"/>
      <c r="H13" s="22"/>
      <c r="I13" s="22"/>
      <c r="J13" s="22"/>
      <c r="K13" s="22"/>
      <c r="L13" s="22"/>
      <c r="N13" s="22"/>
    </row>
    <row r="14" spans="1:14" x14ac:dyDescent="0.3">
      <c r="A14" s="22"/>
      <c r="B14" s="23" t="s">
        <v>129</v>
      </c>
      <c r="C14" s="23" t="s">
        <v>27</v>
      </c>
      <c r="D14" s="22"/>
      <c r="E14" s="22"/>
      <c r="F14" s="22"/>
      <c r="G14" s="22"/>
      <c r="H14" s="22"/>
      <c r="I14" s="22"/>
      <c r="J14" s="22"/>
      <c r="K14" s="22"/>
      <c r="L14" s="22"/>
    </row>
    <row r="15" spans="1:14" x14ac:dyDescent="0.3">
      <c r="A15" s="22"/>
      <c r="B15" s="23" t="s">
        <v>130</v>
      </c>
      <c r="C15" s="23" t="s">
        <v>48</v>
      </c>
      <c r="D15" s="22"/>
      <c r="E15" s="22"/>
      <c r="F15" s="22"/>
      <c r="G15" s="22"/>
      <c r="H15" s="22"/>
      <c r="I15" s="22"/>
      <c r="J15" s="22"/>
      <c r="K15" s="22"/>
      <c r="L15" s="22"/>
    </row>
    <row r="16" spans="1:14" x14ac:dyDescent="0.3">
      <c r="A16" s="22"/>
      <c r="B16" s="23" t="s">
        <v>131</v>
      </c>
      <c r="C16" s="23" t="s">
        <v>132</v>
      </c>
      <c r="D16" s="22"/>
      <c r="E16" s="22"/>
      <c r="F16" s="22"/>
      <c r="G16" s="22"/>
      <c r="H16" s="22"/>
      <c r="I16" s="22"/>
      <c r="J16" s="22"/>
      <c r="K16" s="22"/>
      <c r="L16" s="22"/>
    </row>
    <row r="17" spans="1:12" x14ac:dyDescent="0.3">
      <c r="A17" s="22"/>
      <c r="B17" s="23" t="s">
        <v>133</v>
      </c>
      <c r="C17" s="23" t="s">
        <v>134</v>
      </c>
      <c r="D17" s="22"/>
      <c r="E17" s="22"/>
      <c r="F17" s="22"/>
      <c r="G17" s="22"/>
      <c r="H17" s="22"/>
      <c r="I17" s="22"/>
      <c r="J17" s="22"/>
      <c r="K17" s="22"/>
      <c r="L17" s="22"/>
    </row>
    <row r="18" spans="1:12" x14ac:dyDescent="0.3">
      <c r="A18" s="22"/>
      <c r="B18" s="23" t="s">
        <v>135</v>
      </c>
      <c r="C18" s="23" t="s">
        <v>136</v>
      </c>
      <c r="D18" s="22"/>
      <c r="E18" s="22"/>
      <c r="F18" s="22"/>
      <c r="G18" s="22"/>
      <c r="H18" s="22"/>
      <c r="I18" s="22"/>
      <c r="J18" s="22"/>
      <c r="K18" s="22"/>
      <c r="L18" s="22"/>
    </row>
    <row r="19" spans="1:12" x14ac:dyDescent="0.3">
      <c r="B19" s="21"/>
      <c r="C19" s="21"/>
      <c r="E19" s="22"/>
      <c r="F19" s="22"/>
      <c r="G19" s="22"/>
      <c r="H19" s="22"/>
      <c r="I19" s="22"/>
      <c r="J19" s="22"/>
      <c r="K19" s="22"/>
      <c r="L19" s="22"/>
    </row>
    <row r="20" spans="1:12" x14ac:dyDescent="0.3">
      <c r="E20" s="22"/>
      <c r="F20" s="22"/>
      <c r="G20" s="22"/>
      <c r="H20" s="22"/>
      <c r="I20" s="22"/>
      <c r="J20" s="22"/>
      <c r="K20" s="22"/>
      <c r="L20" s="22"/>
    </row>
    <row r="21" spans="1:12" x14ac:dyDescent="0.3">
      <c r="E21" s="22"/>
      <c r="F21" s="22"/>
      <c r="G21" s="22"/>
      <c r="H21" s="22"/>
      <c r="I21" s="22"/>
      <c r="J21" s="22"/>
      <c r="K21" s="22"/>
      <c r="L21" s="22"/>
    </row>
    <row r="29" spans="1:12" x14ac:dyDescent="0.3">
      <c r="F29" s="2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Charts</vt:lpstr>
      <vt:lpstr>Pivot table</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2026-09-15T03:17:28Z</dcterms:created>
  <dcterms:modified xsi:type="dcterms:W3CDTF">2026-09-15T07:17:28Z</dcterms:modified>
</cp:coreProperties>
</file>